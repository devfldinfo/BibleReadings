
<file path=[Content_Types].xml><?xml version="1.0" encoding="utf-8"?>
<Types xmlns="http://schemas.openxmlformats.org/package/2006/content-types">
  <Default Extension="bin" ContentType="application/vnd.openxmlformats-officedocument.spreadsheetml.printerSetting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1540" yWindow="-80" windowWidth="10270" windowHeight="6550" tabRatio="815" activeTab="2"/>
  </bookViews>
  <sheets>
    <sheet name="Edit Sun" sheetId="17" r:id="rId1"/>
    <sheet name="Edit Wed" sheetId="18" r:id="rId2"/>
    <sheet name="Edit Translations" sheetId="10" r:id="rId3"/>
    <sheet name="Manual" sheetId="19" r:id="rId4"/>
    <sheet name="Preview Sun" sheetId="6" r:id="rId5"/>
    <sheet name="FixSun" sheetId="20" r:id="rId6"/>
    <sheet name="Preview Wed" sheetId="9" r:id="rId7"/>
    <sheet name="FixWed" sheetId="21" r:id="rId8"/>
    <sheet name="Output" sheetId="15" r:id="rId9"/>
  </sheets>
  <functionGroups/>
  <definedNames>
    <definedName name="_xlnm.Print_Area" localSheetId="4">'Preview Sun'!$B$2:$F$29</definedName>
    <definedName name="_xlnm.Print_Area" localSheetId="6">'Preview Wed'!$B$2:$F$29</definedName>
  </definedNames>
  <calcPr calcId="124519"/>
  <customWorkbookViews>
    <customWorkbookView name="Matie - Personal View" guid="{F9E3F060-34B7-47D4-BF00-A83885D5AF3F}" mergeInterval="0" personalView="1" maximized="1" windowWidth="1362" windowHeight="553" activeSheetId="2"/>
  </customWorkbookViews>
</workbook>
</file>

<file path=xl/calcChain.xml><?xml version="1.0" encoding="utf-8"?>
<calcChain xmlns="http://schemas.openxmlformats.org/spreadsheetml/2006/main">
  <c r="I10" i="10"/>
  <c r="A4" i="18"/>
  <c r="A6" s="1"/>
  <c r="A6" i="21" s="1"/>
  <c r="A60"/>
  <c r="A136" i="15" s="1"/>
  <c r="B60" i="21"/>
  <c r="C60"/>
  <c r="D60"/>
  <c r="Z60" i="9" s="1"/>
  <c r="E60" i="21"/>
  <c r="A4" i="17"/>
  <c r="A10" s="1"/>
  <c r="A10" i="20" s="1"/>
  <c r="D38" i="21"/>
  <c r="B38"/>
  <c r="A31"/>
  <c r="T31" i="9" s="1"/>
  <c r="A32" i="21"/>
  <c r="A33"/>
  <c r="T33" i="9" s="1"/>
  <c r="C38" i="21"/>
  <c r="D18"/>
  <c r="D4"/>
  <c r="D5"/>
  <c r="D6"/>
  <c r="D7"/>
  <c r="D8"/>
  <c r="D9"/>
  <c r="D10"/>
  <c r="D11"/>
  <c r="D12"/>
  <c r="D13"/>
  <c r="D14"/>
  <c r="D15"/>
  <c r="D16"/>
  <c r="D17"/>
  <c r="D19"/>
  <c r="D20"/>
  <c r="D21"/>
  <c r="D22"/>
  <c r="D23"/>
  <c r="D24"/>
  <c r="D25"/>
  <c r="D26"/>
  <c r="D27"/>
  <c r="D28"/>
  <c r="D29"/>
  <c r="D30"/>
  <c r="D31"/>
  <c r="D32"/>
  <c r="D33"/>
  <c r="D34"/>
  <c r="D35"/>
  <c r="D36"/>
  <c r="D37"/>
  <c r="E38"/>
  <c r="D39"/>
  <c r="E39"/>
  <c r="B39"/>
  <c r="C39"/>
  <c r="D40"/>
  <c r="E40"/>
  <c r="B40"/>
  <c r="C40"/>
  <c r="D41"/>
  <c r="E41"/>
  <c r="B41"/>
  <c r="C41"/>
  <c r="D42"/>
  <c r="E42"/>
  <c r="B42"/>
  <c r="C42"/>
  <c r="D43"/>
  <c r="E43"/>
  <c r="B43"/>
  <c r="C43"/>
  <c r="D44"/>
  <c r="E44"/>
  <c r="B44"/>
  <c r="C44"/>
  <c r="D45"/>
  <c r="E45"/>
  <c r="B45"/>
  <c r="C45"/>
  <c r="D46"/>
  <c r="E46"/>
  <c r="B46"/>
  <c r="C46"/>
  <c r="D47"/>
  <c r="B47"/>
  <c r="C47"/>
  <c r="E47"/>
  <c r="D48"/>
  <c r="E48"/>
  <c r="B48"/>
  <c r="C48"/>
  <c r="D49"/>
  <c r="E49"/>
  <c r="B49"/>
  <c r="C49"/>
  <c r="D50"/>
  <c r="B50"/>
  <c r="C50"/>
  <c r="E50"/>
  <c r="D51"/>
  <c r="E51"/>
  <c r="B51"/>
  <c r="C51"/>
  <c r="D52"/>
  <c r="E52"/>
  <c r="B52"/>
  <c r="C52"/>
  <c r="D53"/>
  <c r="B53"/>
  <c r="C53"/>
  <c r="E53"/>
  <c r="D54"/>
  <c r="E54"/>
  <c r="B54"/>
  <c r="C54"/>
  <c r="D55"/>
  <c r="E55"/>
  <c r="B55"/>
  <c r="C55"/>
  <c r="D56"/>
  <c r="E56"/>
  <c r="B56"/>
  <c r="C56"/>
  <c r="D57"/>
  <c r="E57"/>
  <c r="B57"/>
  <c r="C57"/>
  <c r="D58"/>
  <c r="E58"/>
  <c r="B58"/>
  <c r="C58"/>
  <c r="D59"/>
  <c r="Z59" i="9" s="1"/>
  <c r="A59" i="21"/>
  <c r="T59" i="9" s="1"/>
  <c r="C59" s="1"/>
  <c r="E59" i="21"/>
  <c r="B59"/>
  <c r="C59"/>
  <c r="E5"/>
  <c r="B5"/>
  <c r="E6"/>
  <c r="B6"/>
  <c r="B7"/>
  <c r="C7"/>
  <c r="E8"/>
  <c r="B8"/>
  <c r="E9"/>
  <c r="B9"/>
  <c r="B10"/>
  <c r="C10"/>
  <c r="E11"/>
  <c r="B11"/>
  <c r="E12"/>
  <c r="B12"/>
  <c r="B13"/>
  <c r="C13"/>
  <c r="E14"/>
  <c r="B14"/>
  <c r="E15"/>
  <c r="B15"/>
  <c r="B16"/>
  <c r="C16"/>
  <c r="E17"/>
  <c r="B17"/>
  <c r="E18"/>
  <c r="B18"/>
  <c r="C18"/>
  <c r="B19"/>
  <c r="C19"/>
  <c r="E19"/>
  <c r="E20"/>
  <c r="B20"/>
  <c r="C20"/>
  <c r="E21"/>
  <c r="B21"/>
  <c r="C21"/>
  <c r="B22"/>
  <c r="C22"/>
  <c r="E22"/>
  <c r="E23"/>
  <c r="B23"/>
  <c r="C23"/>
  <c r="E24"/>
  <c r="B24"/>
  <c r="C24"/>
  <c r="B25"/>
  <c r="C25"/>
  <c r="E25"/>
  <c r="E26"/>
  <c r="B26"/>
  <c r="C26"/>
  <c r="E27"/>
  <c r="B27"/>
  <c r="C27"/>
  <c r="B28"/>
  <c r="C28"/>
  <c r="E28"/>
  <c r="E29"/>
  <c r="B29"/>
  <c r="C29"/>
  <c r="B30"/>
  <c r="C30"/>
  <c r="E30"/>
  <c r="B31"/>
  <c r="C31"/>
  <c r="E31"/>
  <c r="B32"/>
  <c r="T32" i="9"/>
  <c r="C32" i="21"/>
  <c r="E32"/>
  <c r="B33"/>
  <c r="C33"/>
  <c r="E33"/>
  <c r="E34"/>
  <c r="B34"/>
  <c r="C34"/>
  <c r="B35"/>
  <c r="C35"/>
  <c r="E35"/>
  <c r="E36"/>
  <c r="B36"/>
  <c r="C36"/>
  <c r="E37"/>
  <c r="B37"/>
  <c r="C37"/>
  <c r="E4"/>
  <c r="B4"/>
  <c r="E7"/>
  <c r="E10"/>
  <c r="E13"/>
  <c r="E16"/>
  <c r="C5"/>
  <c r="C6"/>
  <c r="C8"/>
  <c r="C9"/>
  <c r="C11"/>
  <c r="C12"/>
  <c r="C14"/>
  <c r="C15"/>
  <c r="C17"/>
  <c r="C4"/>
  <c r="D2"/>
  <c r="A3"/>
  <c r="B3"/>
  <c r="C3"/>
  <c r="D3"/>
  <c r="E3"/>
  <c r="D9" i="20"/>
  <c r="D4"/>
  <c r="D5"/>
  <c r="D6"/>
  <c r="D7"/>
  <c r="D8"/>
  <c r="E9"/>
  <c r="D10"/>
  <c r="E10"/>
  <c r="D11"/>
  <c r="B11"/>
  <c r="C11"/>
  <c r="D12"/>
  <c r="E12"/>
  <c r="D13"/>
  <c r="E13"/>
  <c r="D14"/>
  <c r="B14"/>
  <c r="C14"/>
  <c r="D15"/>
  <c r="E15"/>
  <c r="D16"/>
  <c r="E16"/>
  <c r="D17"/>
  <c r="B17"/>
  <c r="C17"/>
  <c r="D18"/>
  <c r="E18"/>
  <c r="D19"/>
  <c r="E19"/>
  <c r="D20"/>
  <c r="B20"/>
  <c r="C20"/>
  <c r="D21"/>
  <c r="E21"/>
  <c r="D22"/>
  <c r="E22"/>
  <c r="D23"/>
  <c r="B23"/>
  <c r="C23"/>
  <c r="D24"/>
  <c r="E24"/>
  <c r="D25"/>
  <c r="E25"/>
  <c r="D26"/>
  <c r="B26"/>
  <c r="C26"/>
  <c r="D27"/>
  <c r="E27"/>
  <c r="D28"/>
  <c r="E28"/>
  <c r="D29"/>
  <c r="B29"/>
  <c r="C29"/>
  <c r="D30"/>
  <c r="Z30" i="6" s="1"/>
  <c r="D31" i="20"/>
  <c r="Z31" i="6" s="1"/>
  <c r="D32" i="20"/>
  <c r="Z32" i="6" s="1"/>
  <c r="D33" i="20"/>
  <c r="Z33" i="6" s="1"/>
  <c r="D34" i="20"/>
  <c r="A31"/>
  <c r="T31" i="6" s="1"/>
  <c r="A32" i="20"/>
  <c r="T32" i="6" s="1"/>
  <c r="A33" i="20"/>
  <c r="T33" i="6" s="1"/>
  <c r="E34" i="20"/>
  <c r="D35"/>
  <c r="E35"/>
  <c r="D36"/>
  <c r="B36"/>
  <c r="C36"/>
  <c r="D37"/>
  <c r="E37"/>
  <c r="D38"/>
  <c r="E38"/>
  <c r="D39"/>
  <c r="E39"/>
  <c r="D40"/>
  <c r="E40"/>
  <c r="D41"/>
  <c r="E41"/>
  <c r="D42"/>
  <c r="E42"/>
  <c r="D43"/>
  <c r="E43"/>
  <c r="D44"/>
  <c r="E44"/>
  <c r="D45"/>
  <c r="B45"/>
  <c r="C45"/>
  <c r="D46"/>
  <c r="E46"/>
  <c r="D47"/>
  <c r="E47"/>
  <c r="D48"/>
  <c r="B48"/>
  <c r="C48"/>
  <c r="D49"/>
  <c r="E49"/>
  <c r="D50"/>
  <c r="E50"/>
  <c r="D51"/>
  <c r="B51"/>
  <c r="C51"/>
  <c r="D52"/>
  <c r="E52"/>
  <c r="D53"/>
  <c r="E53"/>
  <c r="D54"/>
  <c r="E54"/>
  <c r="D55"/>
  <c r="E55"/>
  <c r="D56"/>
  <c r="E56"/>
  <c r="D57"/>
  <c r="E57"/>
  <c r="D58"/>
  <c r="E58"/>
  <c r="D59"/>
  <c r="E59"/>
  <c r="Z60" i="6"/>
  <c r="E4" i="20"/>
  <c r="E5"/>
  <c r="E6"/>
  <c r="E7"/>
  <c r="B8"/>
  <c r="C8"/>
  <c r="E36"/>
  <c r="E45"/>
  <c r="E48"/>
  <c r="E51"/>
  <c r="A72" i="15"/>
  <c r="E8" i="20"/>
  <c r="E11"/>
  <c r="E14"/>
  <c r="E17"/>
  <c r="E20"/>
  <c r="E23"/>
  <c r="E26"/>
  <c r="E29"/>
  <c r="B12" i="10"/>
  <c r="E31" i="20"/>
  <c r="E32"/>
  <c r="E33"/>
  <c r="B31"/>
  <c r="C31"/>
  <c r="B32"/>
  <c r="C32"/>
  <c r="B33"/>
  <c r="C33"/>
  <c r="B34"/>
  <c r="C34"/>
  <c r="B35"/>
  <c r="C35"/>
  <c r="B37"/>
  <c r="C37"/>
  <c r="B38"/>
  <c r="C38"/>
  <c r="B39"/>
  <c r="C39"/>
  <c r="B40"/>
  <c r="C40"/>
  <c r="B41"/>
  <c r="C41"/>
  <c r="B42"/>
  <c r="C42"/>
  <c r="B43"/>
  <c r="C43"/>
  <c r="B44"/>
  <c r="C44"/>
  <c r="B46"/>
  <c r="C46"/>
  <c r="B47"/>
  <c r="C47"/>
  <c r="B49"/>
  <c r="C49"/>
  <c r="B50"/>
  <c r="C50"/>
  <c r="B52"/>
  <c r="C52"/>
  <c r="B53"/>
  <c r="C53"/>
  <c r="B54"/>
  <c r="C54"/>
  <c r="B55"/>
  <c r="C55"/>
  <c r="B56"/>
  <c r="C56"/>
  <c r="B57"/>
  <c r="C57"/>
  <c r="B58"/>
  <c r="C58"/>
  <c r="B59"/>
  <c r="C59"/>
  <c r="T60" i="6"/>
  <c r="C60" s="1"/>
  <c r="B5" i="20"/>
  <c r="C5"/>
  <c r="B6"/>
  <c r="C6"/>
  <c r="B7"/>
  <c r="C7"/>
  <c r="B9"/>
  <c r="C9"/>
  <c r="B10"/>
  <c r="C10"/>
  <c r="B12"/>
  <c r="C12"/>
  <c r="B13"/>
  <c r="C13"/>
  <c r="B15"/>
  <c r="C15"/>
  <c r="B16"/>
  <c r="C16"/>
  <c r="B18"/>
  <c r="C18"/>
  <c r="B19"/>
  <c r="C19"/>
  <c r="B21"/>
  <c r="C21"/>
  <c r="B22"/>
  <c r="C22"/>
  <c r="B24"/>
  <c r="C24"/>
  <c r="B25"/>
  <c r="C25"/>
  <c r="B27"/>
  <c r="C27"/>
  <c r="B28"/>
  <c r="C28"/>
  <c r="B30"/>
  <c r="C30"/>
  <c r="E30"/>
  <c r="C4"/>
  <c r="B4"/>
  <c r="D2"/>
  <c r="A3"/>
  <c r="B3"/>
  <c r="C3"/>
  <c r="D3"/>
  <c r="E3"/>
  <c r="P10" i="10"/>
  <c r="A139" i="15"/>
  <c r="A142"/>
  <c r="A144"/>
  <c r="A145"/>
  <c r="A146"/>
  <c r="A147"/>
  <c r="A3"/>
  <c r="H7" i="10"/>
  <c r="H8"/>
  <c r="H9"/>
  <c r="H6"/>
  <c r="H53"/>
  <c r="H54"/>
  <c r="H55"/>
  <c r="H56"/>
  <c r="H57"/>
  <c r="H58"/>
  <c r="H59"/>
  <c r="H60"/>
  <c r="H61"/>
  <c r="H62"/>
  <c r="H63"/>
  <c r="H64"/>
  <c r="H65"/>
  <c r="H66"/>
  <c r="H52"/>
  <c r="G5"/>
  <c r="O10"/>
  <c r="N10"/>
  <c r="M10"/>
  <c r="K10"/>
  <c r="H10"/>
  <c r="G10"/>
  <c r="F10"/>
  <c r="E10"/>
  <c r="D10"/>
  <c r="P45" i="6"/>
  <c r="O38"/>
  <c r="O25"/>
  <c r="Q13" i="9"/>
  <c r="S60" i="6"/>
  <c r="S25" i="9"/>
  <c r="U10" i="6"/>
  <c r="S36"/>
  <c r="S27"/>
  <c r="O14" i="9"/>
  <c r="P21" i="6"/>
  <c r="Q43" i="9"/>
  <c r="S31"/>
  <c r="P26" i="6"/>
  <c r="O49" i="9"/>
  <c r="S55" i="6"/>
  <c r="P47"/>
  <c r="U31" i="9"/>
  <c r="S34" i="6"/>
  <c r="Q12"/>
  <c r="S4"/>
  <c r="Q23" i="9"/>
  <c r="P25"/>
  <c r="S32" i="6"/>
  <c r="S9"/>
  <c r="P31" i="9"/>
  <c r="S12"/>
  <c r="S42" i="6"/>
  <c r="P59" i="9"/>
  <c r="O21"/>
  <c r="O24" i="6"/>
  <c r="P13"/>
  <c r="O22" i="9"/>
  <c r="O12" i="6"/>
  <c r="O27" i="9"/>
  <c r="Q58" i="6"/>
  <c r="O51"/>
  <c r="P33"/>
  <c r="O30" i="9"/>
  <c r="Q11"/>
  <c r="S58"/>
  <c r="O58" i="6"/>
  <c r="O26" i="9"/>
  <c r="P41" i="6"/>
  <c r="Q15"/>
  <c r="S46"/>
  <c r="Q29" i="9"/>
  <c r="O40"/>
  <c r="Q33" i="6"/>
  <c r="O59"/>
  <c r="O47"/>
  <c r="Q37"/>
  <c r="S15"/>
  <c r="S29"/>
  <c r="O22"/>
  <c r="Q35"/>
  <c r="Q6"/>
  <c r="P45" i="9"/>
  <c r="S16"/>
  <c r="O53" i="6"/>
  <c r="P57"/>
  <c r="P34" i="9"/>
  <c r="P10"/>
  <c r="S39" i="6"/>
  <c r="Q30" i="9"/>
  <c r="O32" i="6"/>
  <c r="P56"/>
  <c r="Q36"/>
  <c r="P4"/>
  <c r="P8" i="9"/>
  <c r="A138" i="15"/>
  <c r="Q56" i="6"/>
  <c r="Q31" i="9"/>
  <c r="O23"/>
  <c r="P28"/>
  <c r="O41" i="6"/>
  <c r="P13" i="9"/>
  <c r="P17" i="6"/>
  <c r="O48"/>
  <c r="Q7" i="9"/>
  <c r="Q4"/>
  <c r="P9"/>
  <c r="Q44" i="6"/>
  <c r="S31"/>
  <c r="S44"/>
  <c r="O32" i="9"/>
  <c r="Q15"/>
  <c r="P37" i="6"/>
  <c r="S25"/>
  <c r="P56" i="9"/>
  <c r="O45" i="6"/>
  <c r="P32" i="9"/>
  <c r="O19"/>
  <c r="S13" i="6"/>
  <c r="S46" i="9"/>
  <c r="S35" i="6"/>
  <c r="Q27"/>
  <c r="P11" i="9"/>
  <c r="Q45" i="6"/>
  <c r="O49"/>
  <c r="P42"/>
  <c r="S57" i="9"/>
  <c r="S14"/>
  <c r="Q54"/>
  <c r="S54" i="6"/>
  <c r="S38" i="9"/>
  <c r="S26"/>
  <c r="S6"/>
  <c r="Q59" i="6"/>
  <c r="P19"/>
  <c r="A141" i="15"/>
  <c r="Q17" i="6"/>
  <c r="O33"/>
  <c r="O42"/>
  <c r="A105" i="15"/>
  <c r="S48" i="9"/>
  <c r="S32"/>
  <c r="P51"/>
  <c r="S20" i="6"/>
  <c r="P48" i="9"/>
  <c r="Q6"/>
  <c r="O5"/>
  <c r="P29"/>
  <c r="S60"/>
  <c r="Q49"/>
  <c r="O35"/>
  <c r="Q53" i="6"/>
  <c r="O16" i="9"/>
  <c r="Q10"/>
  <c r="S47" i="6"/>
  <c r="O9"/>
  <c r="P41" i="9"/>
  <c r="Q32"/>
  <c r="S53" i="6"/>
  <c r="S55" i="9"/>
  <c r="P9" i="6"/>
  <c r="O29"/>
  <c r="S48"/>
  <c r="S23" i="9"/>
  <c r="O4" i="6"/>
  <c r="S24" i="9"/>
  <c r="Q48" i="6"/>
  <c r="O33" i="9"/>
  <c r="O7" i="6"/>
  <c r="Q5" i="9"/>
  <c r="A6" i="15"/>
  <c r="O44" i="9"/>
  <c r="O12"/>
  <c r="S49" i="6"/>
  <c r="O35"/>
  <c r="S6"/>
  <c r="P27" i="9"/>
  <c r="P32" i="6"/>
  <c r="S29" i="9"/>
  <c r="P55" i="6"/>
  <c r="P22" i="9"/>
  <c r="Q46"/>
  <c r="S52"/>
  <c r="Q5" i="6"/>
  <c r="S5" i="9"/>
  <c r="P14"/>
  <c r="A14" i="15"/>
  <c r="S10" i="9"/>
  <c r="P30"/>
  <c r="Q19" i="6"/>
  <c r="O43"/>
  <c r="Q8" i="9"/>
  <c r="P42"/>
  <c r="A8" i="15"/>
  <c r="P46" i="9"/>
  <c r="O39"/>
  <c r="S43" i="6"/>
  <c r="U60" i="9"/>
  <c r="O6"/>
  <c r="Q31" i="6"/>
  <c r="S27" i="9"/>
  <c r="Q40"/>
  <c r="P33"/>
  <c r="Q35"/>
  <c r="P44" i="6"/>
  <c r="S30" i="9"/>
  <c r="O37" i="6"/>
  <c r="P58" i="9"/>
  <c r="P19"/>
  <c r="P7" i="6"/>
  <c r="S16"/>
  <c r="Q47" i="9"/>
  <c r="O46" i="6"/>
  <c r="O57" i="9"/>
  <c r="Q22" i="6"/>
  <c r="P24"/>
  <c r="S50"/>
  <c r="O19"/>
  <c r="O52" i="9"/>
  <c r="P12" i="6"/>
  <c r="O58" i="9"/>
  <c r="O54" i="6"/>
  <c r="O17" i="9"/>
  <c r="O38"/>
  <c r="O55"/>
  <c r="Q39"/>
  <c r="O14" i="6"/>
  <c r="A13" i="15"/>
  <c r="P43" i="6"/>
  <c r="Q23"/>
  <c r="S5"/>
  <c r="S15" i="9"/>
  <c r="Q59"/>
  <c r="S50"/>
  <c r="Q38" i="6"/>
  <c r="P15" i="9"/>
  <c r="Q49" i="6"/>
  <c r="P5" i="9"/>
  <c r="P25" i="6"/>
  <c r="P20"/>
  <c r="S8" i="9"/>
  <c r="Q56"/>
  <c r="S49"/>
  <c r="S45"/>
  <c r="O34" i="6"/>
  <c r="P4" i="9"/>
  <c r="O9"/>
  <c r="O6" i="6"/>
  <c r="Q28" i="9"/>
  <c r="P55"/>
  <c r="Q19"/>
  <c r="Q53"/>
  <c r="P57"/>
  <c r="Q24"/>
  <c r="P40" i="6"/>
  <c r="S23"/>
  <c r="P30"/>
  <c r="O52"/>
  <c r="O40"/>
  <c r="Q55" i="9"/>
  <c r="S39"/>
  <c r="S13"/>
  <c r="S36"/>
  <c r="Q51" i="6"/>
  <c r="S21" i="9"/>
  <c r="Q34"/>
  <c r="Q37"/>
  <c r="S19"/>
  <c r="Q7" i="6"/>
  <c r="Q21" i="9"/>
  <c r="O48"/>
  <c r="S58" i="6"/>
  <c r="S41"/>
  <c r="Q14" i="9"/>
  <c r="P24"/>
  <c r="S17" i="6"/>
  <c r="S45"/>
  <c r="S28"/>
  <c r="O21"/>
  <c r="S35" i="9"/>
  <c r="P14" i="6"/>
  <c r="P8"/>
  <c r="P15"/>
  <c r="S40"/>
  <c r="P5"/>
  <c r="Q17" i="9"/>
  <c r="P17"/>
  <c r="O60" i="6"/>
  <c r="Q30"/>
  <c r="S54" i="9"/>
  <c r="Q8" i="6"/>
  <c r="Q54"/>
  <c r="O11" i="9"/>
  <c r="Q42" i="6"/>
  <c r="Q44" i="9"/>
  <c r="P51" i="6"/>
  <c r="P29"/>
  <c r="P53"/>
  <c r="Q13"/>
  <c r="O47" i="9"/>
  <c r="O34"/>
  <c r="P37"/>
  <c r="S56" i="6"/>
  <c r="S20" i="9"/>
  <c r="S40"/>
  <c r="O51"/>
  <c r="O5" i="6"/>
  <c r="A10" i="15"/>
  <c r="S53" i="9"/>
  <c r="S43"/>
  <c r="P11" i="6"/>
  <c r="Q9" i="9"/>
  <c r="Q50"/>
  <c r="Q18"/>
  <c r="Q41"/>
  <c r="O24"/>
  <c r="Q18" i="6"/>
  <c r="O4" i="9"/>
  <c r="P60" i="6"/>
  <c r="S30"/>
  <c r="P50"/>
  <c r="P22"/>
  <c r="O7" i="9"/>
  <c r="P43"/>
  <c r="S14" i="6"/>
  <c r="A7" i="15"/>
  <c r="S51" i="9"/>
  <c r="O54"/>
  <c r="Q45"/>
  <c r="O29"/>
  <c r="S38" i="6"/>
  <c r="P21" i="9"/>
  <c r="O20" i="6"/>
  <c r="Q48" i="9"/>
  <c r="O42"/>
  <c r="P18"/>
  <c r="O45"/>
  <c r="P16"/>
  <c r="A11" i="15"/>
  <c r="S37" i="9"/>
  <c r="S22" i="6"/>
  <c r="S19"/>
  <c r="Q22" i="9"/>
  <c r="Q14" i="6"/>
  <c r="S10"/>
  <c r="Q55"/>
  <c r="P23" i="9"/>
  <c r="Q60" i="6"/>
  <c r="O50"/>
  <c r="Q4"/>
  <c r="Q27" i="9"/>
  <c r="P26"/>
  <c r="S59" i="6"/>
  <c r="O39"/>
  <c r="A76" i="15"/>
  <c r="O10" i="6"/>
  <c r="A109" i="15"/>
  <c r="P59" i="6"/>
  <c r="Q60" i="9"/>
  <c r="O56" i="6"/>
  <c r="S7"/>
  <c r="A140" i="15"/>
  <c r="Q52" i="6"/>
  <c r="O25" i="9"/>
  <c r="O55" i="6"/>
  <c r="A9" i="15"/>
  <c r="O37" i="9"/>
  <c r="O36"/>
  <c r="S57" i="6"/>
  <c r="S17" i="9"/>
  <c r="O31" i="6"/>
  <c r="O11"/>
  <c r="Q33" i="9"/>
  <c r="S42"/>
  <c r="O13" i="6"/>
  <c r="S41" i="9"/>
  <c r="S8" i="6"/>
  <c r="Q28"/>
  <c r="O59" i="9"/>
  <c r="Q20"/>
  <c r="S33"/>
  <c r="Q50" i="6"/>
  <c r="O13" i="9"/>
  <c r="U60" i="6"/>
  <c r="O20" i="9"/>
  <c r="P54" i="6"/>
  <c r="A45" i="15"/>
  <c r="P7" i="9"/>
  <c r="P52" i="6"/>
  <c r="Q47"/>
  <c r="Q51" i="9"/>
  <c r="Q10" i="6"/>
  <c r="P44" i="9"/>
  <c r="S56"/>
  <c r="S51" i="6"/>
  <c r="O15"/>
  <c r="S47" i="9"/>
  <c r="Q36"/>
  <c r="O43"/>
  <c r="O23" i="6"/>
  <c r="P52" i="9"/>
  <c r="P60"/>
  <c r="Q16" i="6"/>
  <c r="U32" i="9"/>
  <c r="A4" i="15"/>
  <c r="S11" i="9"/>
  <c r="O50"/>
  <c r="O8" i="6"/>
  <c r="O53" i="9"/>
  <c r="Q42"/>
  <c r="S4"/>
  <c r="O8"/>
  <c r="S21" i="6"/>
  <c r="Q25"/>
  <c r="P6" i="9"/>
  <c r="O41"/>
  <c r="Q43" i="6"/>
  <c r="O60" i="9"/>
  <c r="S52" i="6"/>
  <c r="P48"/>
  <c r="P50" i="9"/>
  <c r="P40"/>
  <c r="Q41" i="6"/>
  <c r="O44"/>
  <c r="O30"/>
  <c r="Q57"/>
  <c r="Q24"/>
  <c r="Q29"/>
  <c r="S33"/>
  <c r="S34" i="9"/>
  <c r="S9"/>
  <c r="Q21" i="6"/>
  <c r="P39" i="9"/>
  <c r="Q25"/>
  <c r="P35"/>
  <c r="O46"/>
  <c r="S24" i="6"/>
  <c r="P36" i="9"/>
  <c r="O16" i="6"/>
  <c r="O17"/>
  <c r="O36"/>
  <c r="O18" i="9"/>
  <c r="P38" i="6"/>
  <c r="Q12" i="9"/>
  <c r="P20"/>
  <c r="P38"/>
  <c r="Q9" i="6"/>
  <c r="P23"/>
  <c r="S44" i="9"/>
  <c r="O28" i="6"/>
  <c r="S18" i="9"/>
  <c r="P31" i="6"/>
  <c r="S26"/>
  <c r="P53" i="9"/>
  <c r="S12" i="6"/>
  <c r="O18"/>
  <c r="P39"/>
  <c r="O31" i="9"/>
  <c r="O27" i="6"/>
  <c r="Q20"/>
  <c r="Q16" i="9"/>
  <c r="S11" i="6"/>
  <c r="Q32"/>
  <c r="Q26" i="9"/>
  <c r="S37" i="6"/>
  <c r="O26"/>
  <c r="Q40"/>
  <c r="O57"/>
  <c r="P47" i="9"/>
  <c r="A5" i="15"/>
  <c r="P35" i="6"/>
  <c r="Q11"/>
  <c r="P12" i="9"/>
  <c r="O56"/>
  <c r="S59"/>
  <c r="Q52"/>
  <c r="P58" i="6"/>
  <c r="P54" i="9"/>
  <c r="Q26" i="6"/>
  <c r="O28" i="9"/>
  <c r="S28"/>
  <c r="Q57"/>
  <c r="P36" i="6"/>
  <c r="O15" i="9"/>
  <c r="S22"/>
  <c r="O10"/>
  <c r="Q38"/>
  <c r="Q46" i="6"/>
  <c r="S7" i="9"/>
  <c r="P49"/>
  <c r="Q39" i="6"/>
  <c r="S18"/>
  <c r="P27"/>
  <c r="Q34"/>
  <c r="Q58" i="9"/>
  <c r="P10" i="6"/>
  <c r="P16"/>
  <c r="P28"/>
  <c r="P46"/>
  <c r="P49"/>
  <c r="P6"/>
  <c r="P34"/>
  <c r="P18"/>
  <c r="T60" i="9" l="1"/>
  <c r="A135" i="15"/>
  <c r="B32" i="6"/>
  <c r="A26" i="17"/>
  <c r="A26" i="20" s="1"/>
  <c r="T26" i="6" s="1"/>
  <c r="B2"/>
  <c r="A9" i="17"/>
  <c r="A9" i="20" s="1"/>
  <c r="T9" i="6" s="1"/>
  <c r="A24" i="18"/>
  <c r="A24" i="21" s="1"/>
  <c r="T24" i="9" s="1"/>
  <c r="B32"/>
  <c r="A4" i="20"/>
  <c r="B2" i="9"/>
  <c r="A21" i="17"/>
  <c r="A21" i="20" s="1"/>
  <c r="A5" i="17"/>
  <c r="A5" i="20" s="1"/>
  <c r="T5" i="6" s="1"/>
  <c r="A25" i="17"/>
  <c r="A25" i="20" s="1"/>
  <c r="T25" i="6" s="1"/>
  <c r="A20" i="17"/>
  <c r="A20" i="20" s="1"/>
  <c r="T20" i="6" s="1"/>
  <c r="A16" i="17"/>
  <c r="A16" i="20" s="1"/>
  <c r="T16" i="6" s="1"/>
  <c r="A12" i="17"/>
  <c r="A12" i="20" s="1"/>
  <c r="T12" i="6" s="1"/>
  <c r="A7" i="17"/>
  <c r="A7" i="20" s="1"/>
  <c r="T7" i="6" s="1"/>
  <c r="A5" i="18"/>
  <c r="A5" i="21" s="1"/>
  <c r="A24" i="17"/>
  <c r="A24" i="20" s="1"/>
  <c r="T24" i="6" s="1"/>
  <c r="A11" i="17"/>
  <c r="A11" i="20" s="1"/>
  <c r="T11" i="6" s="1"/>
  <c r="A7" i="18"/>
  <c r="A7" i="21" s="1"/>
  <c r="T7" i="9" s="1"/>
  <c r="A23" i="17"/>
  <c r="A23" i="20" s="1"/>
  <c r="T23" i="6" s="1"/>
  <c r="A9" i="18"/>
  <c r="A9" i="21" s="1"/>
  <c r="T9" i="9" s="1"/>
  <c r="A28" i="17"/>
  <c r="A28" i="20" s="1"/>
  <c r="T28" i="6" s="1"/>
  <c r="A19" i="17"/>
  <c r="A19" i="20" s="1"/>
  <c r="A14" i="17"/>
  <c r="A14" i="20" s="1"/>
  <c r="A21" i="18"/>
  <c r="A21" i="21" s="1"/>
  <c r="T21" i="9" s="1"/>
  <c r="A27" i="17"/>
  <c r="A27" i="20" s="1"/>
  <c r="T27" i="6" s="1"/>
  <c r="A18" i="17"/>
  <c r="A18" i="20" s="1"/>
  <c r="A23" i="18"/>
  <c r="A23" i="21" s="1"/>
  <c r="T23" i="9" s="1"/>
  <c r="A26" i="18"/>
  <c r="A26" i="21" s="1"/>
  <c r="T26" i="9" s="1"/>
  <c r="A11" i="18"/>
  <c r="A11" i="21" s="1"/>
  <c r="T11" i="9" s="1"/>
  <c r="A13" i="18"/>
  <c r="A13" i="21" s="1"/>
  <c r="T13" i="9" s="1"/>
  <c r="A27" i="18"/>
  <c r="A27" i="21" s="1"/>
  <c r="T27" i="9" s="1"/>
  <c r="A15" i="18"/>
  <c r="A15" i="21" s="1"/>
  <c r="T15" i="9" s="1"/>
  <c r="A28" i="18"/>
  <c r="A28" i="21" s="1"/>
  <c r="A17" i="18"/>
  <c r="A17" i="21" s="1"/>
  <c r="T17" i="9" s="1"/>
  <c r="A29" i="18"/>
  <c r="A19"/>
  <c r="A19" i="21" s="1"/>
  <c r="T19" i="9" s="1"/>
  <c r="A4" i="21"/>
  <c r="T4" i="9" s="1"/>
  <c r="T6"/>
  <c r="T10" i="6"/>
  <c r="A22" i="17"/>
  <c r="A22" i="20" s="1"/>
  <c r="A29" i="17"/>
  <c r="A34" s="1"/>
  <c r="A17"/>
  <c r="A17" i="20" s="1"/>
  <c r="A15" i="17"/>
  <c r="A15" i="20" s="1"/>
  <c r="A13" i="17"/>
  <c r="A13" i="20" s="1"/>
  <c r="A8" i="17"/>
  <c r="A8" i="20" s="1"/>
  <c r="A6" i="17"/>
  <c r="A6" i="20" s="1"/>
  <c r="A25" i="18"/>
  <c r="A25" i="21" s="1"/>
  <c r="A22" i="18"/>
  <c r="A22" i="21" s="1"/>
  <c r="A20" i="18"/>
  <c r="A20" i="21" s="1"/>
  <c r="A18" i="18"/>
  <c r="A18" i="21" s="1"/>
  <c r="A16" i="18"/>
  <c r="A16" i="21" s="1"/>
  <c r="A14" i="18"/>
  <c r="A14" i="21" s="1"/>
  <c r="A12" i="18"/>
  <c r="A12" i="21" s="1"/>
  <c r="A10" i="18"/>
  <c r="A10" i="21" s="1"/>
  <c r="A8" i="18"/>
  <c r="A8" i="21" s="1"/>
  <c r="U33" i="6"/>
  <c r="U59" i="9"/>
  <c r="R4"/>
  <c r="R4" i="6"/>
  <c r="U19"/>
  <c r="U14"/>
  <c r="U22" i="9"/>
  <c r="A108" i="15"/>
  <c r="U18" i="6"/>
  <c r="U6" i="9"/>
  <c r="U33"/>
  <c r="U5"/>
  <c r="U32" i="6"/>
  <c r="A44" i="15"/>
  <c r="A75"/>
  <c r="U31" i="6"/>
  <c r="U28" i="9"/>
  <c r="U21" i="6"/>
  <c r="T21" l="1"/>
  <c r="T4"/>
  <c r="T5" i="9"/>
  <c r="C5" s="1"/>
  <c r="T19" i="6"/>
  <c r="C19" s="1"/>
  <c r="T14"/>
  <c r="C14" s="1"/>
  <c r="T18"/>
  <c r="C18" s="1"/>
  <c r="T28" i="9"/>
  <c r="C28" s="1"/>
  <c r="A30" i="18"/>
  <c r="A29" i="21"/>
  <c r="A42" i="17"/>
  <c r="A42" i="20" s="1"/>
  <c r="A52" i="17"/>
  <c r="A52" i="20" s="1"/>
  <c r="A58" i="17"/>
  <c r="A58" i="20" s="1"/>
  <c r="A35" i="17"/>
  <c r="A35" i="20" s="1"/>
  <c r="A37" i="17"/>
  <c r="A37" i="20" s="1"/>
  <c r="A39" i="17"/>
  <c r="A39" i="20" s="1"/>
  <c r="A34"/>
  <c r="A44" i="17"/>
  <c r="A44" i="20" s="1"/>
  <c r="A46" i="17"/>
  <c r="A46" i="20" s="1"/>
  <c r="A48" i="17"/>
  <c r="A48" i="20" s="1"/>
  <c r="A56" i="17"/>
  <c r="A56" i="20" s="1"/>
  <c r="A38" i="17"/>
  <c r="A38" i="20" s="1"/>
  <c r="A41" i="17"/>
  <c r="A41" i="20" s="1"/>
  <c r="A53" i="17"/>
  <c r="A53" i="20" s="1"/>
  <c r="A43" i="17"/>
  <c r="A43" i="20" s="1"/>
  <c r="A47" i="17"/>
  <c r="A47" i="20" s="1"/>
  <c r="A49" i="17"/>
  <c r="A49" i="20" s="1"/>
  <c r="A51" i="17"/>
  <c r="A51" i="20" s="1"/>
  <c r="A55" i="17"/>
  <c r="A55" i="20" s="1"/>
  <c r="A36" i="17"/>
  <c r="A36" i="20" s="1"/>
  <c r="A40" i="17"/>
  <c r="A40" i="20" s="1"/>
  <c r="A45" i="17"/>
  <c r="A45" i="20" s="1"/>
  <c r="A57" i="17"/>
  <c r="A57" i="20" s="1"/>
  <c r="A50" i="17"/>
  <c r="A50" i="20" s="1"/>
  <c r="A54" i="17"/>
  <c r="A54" i="20" s="1"/>
  <c r="T22" i="6"/>
  <c r="T15"/>
  <c r="T14" i="9"/>
  <c r="C17"/>
  <c r="C6"/>
  <c r="T12"/>
  <c r="T8" i="6"/>
  <c r="C16"/>
  <c r="C26" i="9"/>
  <c r="C21"/>
  <c r="C26" i="6"/>
  <c r="C27" i="9"/>
  <c r="T10"/>
  <c r="C9" i="6"/>
  <c r="C7"/>
  <c r="C5"/>
  <c r="T18" i="9"/>
  <c r="T6" i="6"/>
  <c r="T8" i="9"/>
  <c r="T20"/>
  <c r="T17" i="6"/>
  <c r="C4" i="9"/>
  <c r="T25"/>
  <c r="A29" i="20"/>
  <c r="A30" i="17"/>
  <c r="A30" i="20" s="1"/>
  <c r="C12" i="6"/>
  <c r="C24"/>
  <c r="T22" i="9"/>
  <c r="C10" i="6"/>
  <c r="C24" i="9"/>
  <c r="C11" i="6"/>
  <c r="C13" i="9"/>
  <c r="C9"/>
  <c r="C23"/>
  <c r="C19"/>
  <c r="C15"/>
  <c r="C23" i="6"/>
  <c r="C11" i="9"/>
  <c r="C28" i="6"/>
  <c r="C20"/>
  <c r="T16" i="9"/>
  <c r="C7"/>
  <c r="T13" i="6"/>
  <c r="C25"/>
  <c r="C27"/>
  <c r="U5"/>
  <c r="U20" i="9"/>
  <c r="U23"/>
  <c r="U4"/>
  <c r="U20" i="6"/>
  <c r="U16"/>
  <c r="U17" i="9"/>
  <c r="U12" i="6"/>
  <c r="R5"/>
  <c r="U9" i="9"/>
  <c r="U24"/>
  <c r="U13" i="6"/>
  <c r="U15"/>
  <c r="U4"/>
  <c r="R5" i="9"/>
  <c r="U21"/>
  <c r="U26" i="6"/>
  <c r="U27"/>
  <c r="U6"/>
  <c r="U11"/>
  <c r="U27" i="9"/>
  <c r="U15"/>
  <c r="U16"/>
  <c r="U7"/>
  <c r="U11"/>
  <c r="U12"/>
  <c r="U7" i="6"/>
  <c r="U18" i="9"/>
  <c r="U19"/>
  <c r="U22" i="6"/>
  <c r="U28"/>
  <c r="U17"/>
  <c r="U8" i="9"/>
  <c r="U24" i="6"/>
  <c r="U9"/>
  <c r="U14" i="9"/>
  <c r="U13"/>
  <c r="U25" i="6"/>
  <c r="U26" i="9"/>
  <c r="U10"/>
  <c r="U25"/>
  <c r="U23" i="6"/>
  <c r="U8"/>
  <c r="U29" i="9"/>
  <c r="C4" i="6" l="1"/>
  <c r="A30" i="21"/>
  <c r="A34" i="18"/>
  <c r="T29" i="9"/>
  <c r="C18"/>
  <c r="T29" i="6"/>
  <c r="T38"/>
  <c r="A41" i="15"/>
  <c r="T30" i="6"/>
  <c r="T40"/>
  <c r="T37"/>
  <c r="C17"/>
  <c r="C15"/>
  <c r="T53"/>
  <c r="T39"/>
  <c r="C6"/>
  <c r="T45"/>
  <c r="T43"/>
  <c r="T34"/>
  <c r="C16" i="9"/>
  <c r="T57" i="6"/>
  <c r="T47"/>
  <c r="T44"/>
  <c r="A59" i="17"/>
  <c r="C13" i="6"/>
  <c r="C8"/>
  <c r="C22" i="9"/>
  <c r="C14"/>
  <c r="C22" i="6"/>
  <c r="T36"/>
  <c r="C12" i="9"/>
  <c r="C8"/>
  <c r="T50" i="6"/>
  <c r="T49"/>
  <c r="T46"/>
  <c r="T42"/>
  <c r="C25" i="9"/>
  <c r="T54" i="6"/>
  <c r="T51"/>
  <c r="T48"/>
  <c r="T52"/>
  <c r="T55"/>
  <c r="T56"/>
  <c r="T58"/>
  <c r="T35"/>
  <c r="C20" i="9"/>
  <c r="C10"/>
  <c r="T41" i="6"/>
  <c r="U37"/>
  <c r="U55"/>
  <c r="U54"/>
  <c r="U38"/>
  <c r="R6" i="9"/>
  <c r="U35" i="6"/>
  <c r="U41"/>
  <c r="U56"/>
  <c r="U50"/>
  <c r="U39"/>
  <c r="U43"/>
  <c r="U48"/>
  <c r="U36"/>
  <c r="U52"/>
  <c r="U34"/>
  <c r="U47"/>
  <c r="R6"/>
  <c r="U46"/>
  <c r="U42"/>
  <c r="V4"/>
  <c r="U40"/>
  <c r="U44"/>
  <c r="U49"/>
  <c r="U45"/>
  <c r="U53"/>
  <c r="V4" i="9"/>
  <c r="U51" i="6"/>
  <c r="U29"/>
  <c r="U58"/>
  <c r="U57"/>
  <c r="U30" i="9"/>
  <c r="U30" i="6"/>
  <c r="B4" i="9" l="1"/>
  <c r="B4" i="6"/>
  <c r="T30" i="9"/>
  <c r="A44" i="18"/>
  <c r="A44" i="21" s="1"/>
  <c r="A42" i="18"/>
  <c r="A42" i="21" s="1"/>
  <c r="A40" i="18"/>
  <c r="A40" i="21" s="1"/>
  <c r="A49" i="18"/>
  <c r="A49" i="21" s="1"/>
  <c r="A50" i="18"/>
  <c r="A50" i="21" s="1"/>
  <c r="A57" i="18"/>
  <c r="A57" i="21" s="1"/>
  <c r="A41" i="18"/>
  <c r="A41" i="21" s="1"/>
  <c r="A39" i="18"/>
  <c r="A39" i="21" s="1"/>
  <c r="A45" i="18"/>
  <c r="A45" i="21" s="1"/>
  <c r="A46" i="18"/>
  <c r="A46" i="21" s="1"/>
  <c r="A35" i="18"/>
  <c r="A35" i="21" s="1"/>
  <c r="A37" i="18"/>
  <c r="A37" i="21" s="1"/>
  <c r="A36" i="18"/>
  <c r="A36" i="21" s="1"/>
  <c r="A58" i="18"/>
  <c r="A58" i="21" s="1"/>
  <c r="A34"/>
  <c r="A55" i="18"/>
  <c r="A55" i="21" s="1"/>
  <c r="A52" i="18"/>
  <c r="A52" i="21" s="1"/>
  <c r="A56" i="18"/>
  <c r="A56" i="21" s="1"/>
  <c r="A38" i="18"/>
  <c r="A38" i="21" s="1"/>
  <c r="A51" i="18"/>
  <c r="A51" i="21" s="1"/>
  <c r="A43" i="18"/>
  <c r="A43" i="21" s="1"/>
  <c r="A54" i="18"/>
  <c r="A54" i="21" s="1"/>
  <c r="A47" i="18"/>
  <c r="A47" i="21" s="1"/>
  <c r="A53" i="18"/>
  <c r="A53" i="21" s="1"/>
  <c r="A48" i="18"/>
  <c r="A48" i="21" s="1"/>
  <c r="C29" i="9"/>
  <c r="C46" i="6"/>
  <c r="C57"/>
  <c r="C39"/>
  <c r="C38"/>
  <c r="C41"/>
  <c r="C58"/>
  <c r="C51"/>
  <c r="C36"/>
  <c r="C40"/>
  <c r="C47"/>
  <c r="C45"/>
  <c r="C52"/>
  <c r="C35"/>
  <c r="C55"/>
  <c r="C54"/>
  <c r="C56"/>
  <c r="C42"/>
  <c r="C50"/>
  <c r="C44"/>
  <c r="C43"/>
  <c r="C53"/>
  <c r="C37"/>
  <c r="C48"/>
  <c r="C30"/>
  <c r="C29"/>
  <c r="A59" i="20"/>
  <c r="A60" i="17"/>
  <c r="C49" i="6"/>
  <c r="C34"/>
  <c r="U54" i="9"/>
  <c r="U41"/>
  <c r="V5"/>
  <c r="R7"/>
  <c r="U57"/>
  <c r="Y4" i="6"/>
  <c r="U58" i="9"/>
  <c r="X4"/>
  <c r="V5" i="6"/>
  <c r="U39" i="9"/>
  <c r="U50"/>
  <c r="R7" i="6"/>
  <c r="Y4" i="9"/>
  <c r="U48"/>
  <c r="U36"/>
  <c r="U56"/>
  <c r="U42"/>
  <c r="U44"/>
  <c r="U52"/>
  <c r="U43"/>
  <c r="X4" i="6"/>
  <c r="U34" i="9"/>
  <c r="U47"/>
  <c r="U46"/>
  <c r="U45"/>
  <c r="U55"/>
  <c r="U53"/>
  <c r="U37"/>
  <c r="U40"/>
  <c r="U38"/>
  <c r="U49"/>
  <c r="U51"/>
  <c r="U35"/>
  <c r="B5" i="6" l="1"/>
  <c r="B5" i="9"/>
  <c r="Z4"/>
  <c r="A77" i="15" s="1"/>
  <c r="Z4" i="6"/>
  <c r="A15" i="15" s="1"/>
  <c r="T48" i="9"/>
  <c r="T52"/>
  <c r="T45"/>
  <c r="T44"/>
  <c r="T56"/>
  <c r="T46"/>
  <c r="T42"/>
  <c r="T38"/>
  <c r="T35"/>
  <c r="T40"/>
  <c r="T51"/>
  <c r="T37"/>
  <c r="T49"/>
  <c r="T43"/>
  <c r="T36"/>
  <c r="T50"/>
  <c r="T54"/>
  <c r="T58"/>
  <c r="T57"/>
  <c r="T47"/>
  <c r="T34"/>
  <c r="T41"/>
  <c r="C30"/>
  <c r="T55"/>
  <c r="T53"/>
  <c r="T39"/>
  <c r="T59" i="6"/>
  <c r="X5"/>
  <c r="Y5"/>
  <c r="V6" i="9"/>
  <c r="Y5"/>
  <c r="V6" i="6"/>
  <c r="X5" i="9"/>
  <c r="R8"/>
  <c r="R8" i="6"/>
  <c r="V59" i="9"/>
  <c r="U59" i="6"/>
  <c r="B6" l="1"/>
  <c r="Z5" i="9"/>
  <c r="A78" i="15" s="1"/>
  <c r="Z5" i="6"/>
  <c r="A16" i="15" s="1"/>
  <c r="B6" i="9"/>
  <c r="B59"/>
  <c r="C50"/>
  <c r="C38"/>
  <c r="C47"/>
  <c r="C37"/>
  <c r="C44"/>
  <c r="C34"/>
  <c r="C49"/>
  <c r="C56"/>
  <c r="C41"/>
  <c r="C43"/>
  <c r="C46"/>
  <c r="C36"/>
  <c r="C42"/>
  <c r="C55"/>
  <c r="C53"/>
  <c r="C54"/>
  <c r="C35"/>
  <c r="C48"/>
  <c r="C39"/>
  <c r="C58"/>
  <c r="C40"/>
  <c r="C52"/>
  <c r="C57"/>
  <c r="C51"/>
  <c r="C45"/>
  <c r="C59" i="6"/>
  <c r="V7"/>
  <c r="Y59" i="9"/>
  <c r="Y6"/>
  <c r="X6" i="6"/>
  <c r="X6" i="9"/>
  <c r="Y6" i="6"/>
  <c r="R9" i="9"/>
  <c r="R9" i="6"/>
  <c r="V7" i="9"/>
  <c r="V60"/>
  <c r="Z6" i="6" l="1"/>
  <c r="A17" i="15" s="1"/>
  <c r="B7" i="6"/>
  <c r="Z6" i="9"/>
  <c r="A79" i="15" s="1"/>
  <c r="B7" i="9"/>
  <c r="Y60"/>
  <c r="Y7"/>
  <c r="V8"/>
  <c r="V8" i="6"/>
  <c r="V9" s="1"/>
  <c r="Y9" s="1"/>
  <c r="V10"/>
  <c r="X7"/>
  <c r="Y7"/>
  <c r="R10"/>
  <c r="X9"/>
  <c r="R10" i="9"/>
  <c r="Y8" i="6"/>
  <c r="X8"/>
  <c r="X7" i="9"/>
  <c r="Y10" i="6"/>
  <c r="V11"/>
  <c r="B10" l="1"/>
  <c r="B9"/>
  <c r="B8"/>
  <c r="Z7"/>
  <c r="A18" i="15" s="1"/>
  <c r="B8" i="9"/>
  <c r="Z7"/>
  <c r="A80" i="15" s="1"/>
  <c r="Z8" i="6"/>
  <c r="A19" i="15" s="1"/>
  <c r="Z9" i="6"/>
  <c r="A20" i="15" s="1"/>
  <c r="B11" i="6"/>
  <c r="X10"/>
  <c r="Y11"/>
  <c r="R11"/>
  <c r="R11" i="9"/>
  <c r="V9"/>
  <c r="Y9" s="1"/>
  <c r="Y8"/>
  <c r="V12" i="6"/>
  <c r="X8" i="9"/>
  <c r="Z8" l="1"/>
  <c r="A81" i="15" s="1"/>
  <c r="B9" i="9"/>
  <c r="B12" i="6"/>
  <c r="Z11"/>
  <c r="A22" i="15" s="1"/>
  <c r="Z10" i="6"/>
  <c r="A21" i="15" s="1"/>
  <c r="X11" i="6"/>
  <c r="Y12"/>
  <c r="X9" i="9"/>
  <c r="V10"/>
  <c r="Y10" s="1"/>
  <c r="V13" i="6"/>
  <c r="R12" i="9"/>
  <c r="R12" i="6"/>
  <c r="V11" i="9"/>
  <c r="X10"/>
  <c r="V12"/>
  <c r="X11"/>
  <c r="Y11"/>
  <c r="Z9" l="1"/>
  <c r="A82" i="15" s="1"/>
  <c r="B11" i="9"/>
  <c r="Z10"/>
  <c r="A83" i="15" s="1"/>
  <c r="B10" i="9"/>
  <c r="B13" i="6"/>
  <c r="Z11" i="9"/>
  <c r="A84" i="15" s="1"/>
  <c r="B12" i="9"/>
  <c r="V14" i="6"/>
  <c r="X12"/>
  <c r="X12" i="9"/>
  <c r="R13" i="6"/>
  <c r="Y13"/>
  <c r="Y12" i="9"/>
  <c r="V13"/>
  <c r="R13"/>
  <c r="B14" i="6" l="1"/>
  <c r="Z12"/>
  <c r="A23" i="15" s="1"/>
  <c r="Z12" i="9"/>
  <c r="A85" i="15" s="1"/>
  <c r="B13" i="9"/>
  <c r="Y14" i="6"/>
  <c r="R14"/>
  <c r="V15"/>
  <c r="R60" i="9"/>
  <c r="R14"/>
  <c r="Y15" i="6"/>
  <c r="X13"/>
  <c r="X13" i="9"/>
  <c r="R59"/>
  <c r="Y13"/>
  <c r="V14"/>
  <c r="Z14" i="6" l="1"/>
  <c r="A25" i="15" s="1"/>
  <c r="B15" i="6"/>
  <c r="Z13"/>
  <c r="A24" i="15" s="1"/>
  <c r="B14" i="9"/>
  <c r="Z13"/>
  <c r="A86" i="15" s="1"/>
  <c r="X14" i="9"/>
  <c r="X59"/>
  <c r="R15" i="6"/>
  <c r="V16"/>
  <c r="X14"/>
  <c r="R15" i="9"/>
  <c r="X60"/>
  <c r="V17" i="6"/>
  <c r="Y14" i="9"/>
  <c r="V15"/>
  <c r="Y17" i="6"/>
  <c r="V18"/>
  <c r="Y18"/>
  <c r="V19"/>
  <c r="V20"/>
  <c r="Y19"/>
  <c r="Y20"/>
  <c r="V21"/>
  <c r="Y21"/>
  <c r="V22"/>
  <c r="Y22"/>
  <c r="V23"/>
  <c r="V24"/>
  <c r="Y23"/>
  <c r="Y24"/>
  <c r="V25"/>
  <c r="V26"/>
  <c r="Y25"/>
  <c r="V27"/>
  <c r="Y26"/>
  <c r="Y27"/>
  <c r="V28"/>
  <c r="V29"/>
  <c r="Y28"/>
  <c r="Y29"/>
  <c r="V30"/>
  <c r="Y30"/>
  <c r="V31"/>
  <c r="V32"/>
  <c r="Y31"/>
  <c r="V33"/>
  <c r="Y32"/>
  <c r="V34"/>
  <c r="Y33"/>
  <c r="V35"/>
  <c r="Y34"/>
  <c r="Y35"/>
  <c r="V36"/>
  <c r="Y36"/>
  <c r="V37"/>
  <c r="V38"/>
  <c r="Y37"/>
  <c r="Y38"/>
  <c r="V39"/>
  <c r="Y39"/>
  <c r="V40"/>
  <c r="Y40"/>
  <c r="V41"/>
  <c r="V42"/>
  <c r="Y41"/>
  <c r="V43"/>
  <c r="Y42"/>
  <c r="V44"/>
  <c r="Y43"/>
  <c r="V45"/>
  <c r="Y44"/>
  <c r="Y45"/>
  <c r="V46"/>
  <c r="Y46"/>
  <c r="V47"/>
  <c r="Y47"/>
  <c r="V48"/>
  <c r="V49"/>
  <c r="Y48"/>
  <c r="V50"/>
  <c r="Y49"/>
  <c r="Y50"/>
  <c r="V51"/>
  <c r="Y51"/>
  <c r="V52"/>
  <c r="V53"/>
  <c r="Y52"/>
  <c r="Y53"/>
  <c r="V54"/>
  <c r="Y54"/>
  <c r="V55"/>
  <c r="Y55"/>
  <c r="V56"/>
  <c r="Y56"/>
  <c r="V57"/>
  <c r="V58"/>
  <c r="Y57"/>
  <c r="Y58"/>
  <c r="V59"/>
  <c r="Y59"/>
  <c r="V60"/>
  <c r="B16" l="1"/>
  <c r="B60"/>
  <c r="B59"/>
  <c r="B58"/>
  <c r="B57"/>
  <c r="B56"/>
  <c r="B55"/>
  <c r="B54"/>
  <c r="B53"/>
  <c r="B52"/>
  <c r="Z51"/>
  <c r="A63" i="15" s="1"/>
  <c r="B51" i="6"/>
  <c r="B50"/>
  <c r="B49"/>
  <c r="Z48"/>
  <c r="A60" i="15" s="1"/>
  <c r="B48" i="6"/>
  <c r="B47"/>
  <c r="Z45"/>
  <c r="A57" i="15" s="1"/>
  <c r="B46" i="6"/>
  <c r="B45"/>
  <c r="B44"/>
  <c r="B43"/>
  <c r="B42"/>
  <c r="B41"/>
  <c r="B40"/>
  <c r="B39"/>
  <c r="B38"/>
  <c r="B37"/>
  <c r="Z36"/>
  <c r="A48" i="15" s="1"/>
  <c r="B36" i="6"/>
  <c r="B35"/>
  <c r="B34"/>
  <c r="Z29"/>
  <c r="A40" i="15" s="1"/>
  <c r="B30" i="6"/>
  <c r="B29"/>
  <c r="B28"/>
  <c r="Z26"/>
  <c r="A37" i="15" s="1"/>
  <c r="B26" i="6"/>
  <c r="B25"/>
  <c r="Z23"/>
  <c r="A34" i="15" s="1"/>
  <c r="B23" i="6"/>
  <c r="B22"/>
  <c r="Z20"/>
  <c r="A31" i="15" s="1"/>
  <c r="B20" i="6"/>
  <c r="B19"/>
  <c r="B18"/>
  <c r="Z17"/>
  <c r="A28" i="15" s="1"/>
  <c r="B17" i="6"/>
  <c r="B15" i="9"/>
  <c r="Z14"/>
  <c r="A87" i="15" s="1"/>
  <c r="R16" i="9"/>
  <c r="Y60" i="6"/>
  <c r="Y16"/>
  <c r="Y15" i="9"/>
  <c r="X15"/>
  <c r="R16" i="6"/>
  <c r="X16" s="1"/>
  <c r="V16" i="9"/>
  <c r="R17" i="6"/>
  <c r="X15"/>
  <c r="X17"/>
  <c r="R18"/>
  <c r="X18"/>
  <c r="R19"/>
  <c r="Z16" l="1"/>
  <c r="A27" i="15" s="1"/>
  <c r="Z15" i="6"/>
  <c r="A26" i="15" s="1"/>
  <c r="B16" i="9"/>
  <c r="Z15"/>
  <c r="A88" i="15" s="1"/>
  <c r="Z18" i="6"/>
  <c r="A29" i="15" s="1"/>
  <c r="Y16" i="9"/>
  <c r="X19" i="6"/>
  <c r="R17" i="9"/>
  <c r="V17"/>
  <c r="R20" i="6"/>
  <c r="X16" i="9"/>
  <c r="Z16" l="1"/>
  <c r="A89" i="15" s="1"/>
  <c r="B17" i="9"/>
  <c r="Z19" i="6"/>
  <c r="A30" i="15" s="1"/>
  <c r="R18" i="9"/>
  <c r="X20" i="6"/>
  <c r="Y17" i="9"/>
  <c r="V18"/>
  <c r="V19" s="1"/>
  <c r="R21" i="6"/>
  <c r="X17" i="9"/>
  <c r="B19" l="1"/>
  <c r="B18"/>
  <c r="Z17"/>
  <c r="A90" i="15" s="1"/>
  <c r="R19" i="9"/>
  <c r="R22" i="6"/>
  <c r="X18" i="9"/>
  <c r="Y19"/>
  <c r="X21" i="6"/>
  <c r="V20" i="9"/>
  <c r="Y18"/>
  <c r="V21"/>
  <c r="Y20"/>
  <c r="V22"/>
  <c r="Y21"/>
  <c r="V23"/>
  <c r="Y22"/>
  <c r="Y23"/>
  <c r="V24"/>
  <c r="Y24"/>
  <c r="V25"/>
  <c r="Y25"/>
  <c r="V26"/>
  <c r="Y26"/>
  <c r="V27"/>
  <c r="V28"/>
  <c r="Y27"/>
  <c r="V29"/>
  <c r="Y28"/>
  <c r="Y29"/>
  <c r="V30"/>
  <c r="V31"/>
  <c r="Y30"/>
  <c r="V32"/>
  <c r="Y31"/>
  <c r="V33"/>
  <c r="Y32"/>
  <c r="V34"/>
  <c r="Y33"/>
  <c r="V35"/>
  <c r="Y34"/>
  <c r="Y35"/>
  <c r="V36"/>
  <c r="Y36"/>
  <c r="V37"/>
  <c r="Y37"/>
  <c r="V38"/>
  <c r="Y38"/>
  <c r="V39"/>
  <c r="Y39"/>
  <c r="V40"/>
  <c r="Y40"/>
  <c r="V41"/>
  <c r="V42"/>
  <c r="Y41"/>
  <c r="Y42"/>
  <c r="V43"/>
  <c r="Y43"/>
  <c r="V44"/>
  <c r="Y44"/>
  <c r="V45"/>
  <c r="Y45"/>
  <c r="V46"/>
  <c r="V47"/>
  <c r="Y46"/>
  <c r="V48"/>
  <c r="Y47"/>
  <c r="Y48"/>
  <c r="V49"/>
  <c r="V50"/>
  <c r="Y49"/>
  <c r="V51"/>
  <c r="Y50"/>
  <c r="Y51"/>
  <c r="V52"/>
  <c r="Y52"/>
  <c r="V53"/>
  <c r="Y53"/>
  <c r="V54"/>
  <c r="V55"/>
  <c r="Y54"/>
  <c r="Y55"/>
  <c r="V56"/>
  <c r="V57"/>
  <c r="Y56"/>
  <c r="Y57"/>
  <c r="V58"/>
  <c r="Z19" l="1"/>
  <c r="A92" i="15" s="1"/>
  <c r="B58" i="9"/>
  <c r="B57"/>
  <c r="B56"/>
  <c r="B55"/>
  <c r="B54"/>
  <c r="Z53"/>
  <c r="A129" i="15" s="1"/>
  <c r="B53" i="9"/>
  <c r="B52"/>
  <c r="Z50"/>
  <c r="A126" i="15" s="1"/>
  <c r="B51" i="9"/>
  <c r="B50"/>
  <c r="B49"/>
  <c r="Z47"/>
  <c r="A123" i="15" s="1"/>
  <c r="B48" i="9"/>
  <c r="B47"/>
  <c r="B46"/>
  <c r="B45"/>
  <c r="B44"/>
  <c r="B43"/>
  <c r="B42"/>
  <c r="B41"/>
  <c r="B40"/>
  <c r="B39"/>
  <c r="Z38"/>
  <c r="A114" i="15" s="1"/>
  <c r="B38" i="9"/>
  <c r="B37"/>
  <c r="Z35"/>
  <c r="A111" i="15" s="1"/>
  <c r="B36" i="9"/>
  <c r="B35"/>
  <c r="Z33"/>
  <c r="B34"/>
  <c r="Z32"/>
  <c r="Z31"/>
  <c r="B30"/>
  <c r="Z28"/>
  <c r="A101" i="15" s="1"/>
  <c r="B29" i="9"/>
  <c r="B28"/>
  <c r="B27"/>
  <c r="Z25"/>
  <c r="A98" i="15" s="1"/>
  <c r="B26" i="9"/>
  <c r="B25"/>
  <c r="B24"/>
  <c r="Z22"/>
  <c r="A95" i="15" s="1"/>
  <c r="B23" i="9"/>
  <c r="B22"/>
  <c r="B21"/>
  <c r="B20"/>
  <c r="Z18"/>
  <c r="A91" i="15" s="1"/>
  <c r="Z21" i="6"/>
  <c r="A32" i="15" s="1"/>
  <c r="R23" i="6"/>
  <c r="Y58" i="9"/>
  <c r="R20"/>
  <c r="X19"/>
  <c r="X22" i="6"/>
  <c r="Z22" l="1"/>
  <c r="A33" i="15" s="1"/>
  <c r="X20" i="9"/>
  <c r="R21"/>
  <c r="X21" s="1"/>
  <c r="X23" i="6"/>
  <c r="R22" i="9"/>
  <c r="R24" i="6"/>
  <c r="X22" i="9"/>
  <c r="R23"/>
  <c r="Z20" l="1"/>
  <c r="A93" i="15" s="1"/>
  <c r="Z21" i="9"/>
  <c r="A94" i="15" s="1"/>
  <c r="R25" i="6"/>
  <c r="X24"/>
  <c r="R24" i="9"/>
  <c r="X23"/>
  <c r="Z23" l="1"/>
  <c r="A96" i="15" s="1"/>
  <c r="Z24" i="6"/>
  <c r="A35" i="15" s="1"/>
  <c r="X25" i="6"/>
  <c r="R26"/>
  <c r="X24" i="9"/>
  <c r="R25"/>
  <c r="X25" s="1"/>
  <c r="Z25" i="6" l="1"/>
  <c r="A36" i="15" s="1"/>
  <c r="Z24" i="9"/>
  <c r="A97" i="15" s="1"/>
  <c r="R27" i="6"/>
  <c r="R26" i="9"/>
  <c r="X26" i="6"/>
  <c r="X27"/>
  <c r="R28"/>
  <c r="R27" i="9"/>
  <c r="R29" i="6"/>
  <c r="X28"/>
  <c r="Z27" l="1"/>
  <c r="A38" i="15" s="1"/>
  <c r="Z28" i="6"/>
  <c r="A39" i="15" s="1"/>
  <c r="X27" i="9"/>
  <c r="X26"/>
  <c r="X29" i="6"/>
  <c r="R30"/>
  <c r="R28" i="9"/>
  <c r="R29" s="1"/>
  <c r="X30" i="6"/>
  <c r="R31"/>
  <c r="Z26" i="9" l="1"/>
  <c r="A99" i="15" s="1"/>
  <c r="Z27" i="9"/>
  <c r="A100" i="15" s="1"/>
  <c r="R30" i="9"/>
  <c r="X29"/>
  <c r="X28"/>
  <c r="R32" i="6"/>
  <c r="X31"/>
  <c r="Z29" i="9" l="1"/>
  <c r="A102" i="15" s="1"/>
  <c r="X32" i="6"/>
  <c r="X30" i="9"/>
  <c r="R31"/>
  <c r="X31" s="1"/>
  <c r="R33" i="6"/>
  <c r="R34" s="1"/>
  <c r="X33"/>
  <c r="Z30" i="9" l="1"/>
  <c r="A103" i="15" s="1"/>
  <c r="X34" i="6"/>
  <c r="R35"/>
  <c r="R36" s="1"/>
  <c r="R32" i="9"/>
  <c r="X32"/>
  <c r="R37" i="6"/>
  <c r="Z34" l="1"/>
  <c r="A46" i="15" s="1"/>
  <c r="R38" i="6"/>
  <c r="R33" i="9"/>
  <c r="X35" i="6"/>
  <c r="X36"/>
  <c r="X37"/>
  <c r="X33" i="9"/>
  <c r="Z37" i="6" l="1"/>
  <c r="A49" i="15" s="1"/>
  <c r="Z35" i="6"/>
  <c r="A47" i="15" s="1"/>
  <c r="X38" i="6"/>
  <c r="R39"/>
  <c r="R34" i="9"/>
  <c r="R35"/>
  <c r="X34"/>
  <c r="Z38" i="6" l="1"/>
  <c r="A50" i="15" s="1"/>
  <c r="Z34" i="9"/>
  <c r="A110" i="15" s="1"/>
  <c r="X35" i="9"/>
  <c r="R36"/>
  <c r="X39" i="6"/>
  <c r="R40"/>
  <c r="R41"/>
  <c r="X40"/>
  <c r="Z39" l="1"/>
  <c r="A51" i="15" s="1"/>
  <c r="Z40" i="6"/>
  <c r="A52" i="15" s="1"/>
  <c r="R37" i="9"/>
  <c r="X41" i="6"/>
  <c r="X36" i="9"/>
  <c r="R42" i="6"/>
  <c r="Z41" l="1"/>
  <c r="A53" i="15" s="1"/>
  <c r="Z36" i="9"/>
  <c r="A112" i="15" s="1"/>
  <c r="X42" i="6"/>
  <c r="R43"/>
  <c r="X37" i="9"/>
  <c r="R38"/>
  <c r="Z42" i="6" l="1"/>
  <c r="A54" i="15" s="1"/>
  <c r="Z37" i="9"/>
  <c r="A113" i="15" s="1"/>
  <c r="X38" i="9"/>
  <c r="R39"/>
  <c r="R44" i="6"/>
  <c r="X43"/>
  <c r="Z43" l="1"/>
  <c r="A55" i="15" s="1"/>
  <c r="X44" i="6"/>
  <c r="R45"/>
  <c r="R40" i="9"/>
  <c r="X45" i="6"/>
  <c r="X39" i="9"/>
  <c r="Z39" l="1"/>
  <c r="A115" i="15" s="1"/>
  <c r="Z44" i="6"/>
  <c r="A56" i="15" s="1"/>
  <c r="X40" i="9"/>
  <c r="R46" i="6"/>
  <c r="R41" i="9"/>
  <c r="X41"/>
  <c r="Z40" l="1"/>
  <c r="A116" i="15" s="1"/>
  <c r="Z41" i="9"/>
  <c r="A117" i="15" s="1"/>
  <c r="R47" i="6"/>
  <c r="X46"/>
  <c r="R42" i="9"/>
  <c r="X47" i="6"/>
  <c r="R43" i="9"/>
  <c r="Z46" i="6" l="1"/>
  <c r="A58" i="15" s="1"/>
  <c r="Z47" i="6"/>
  <c r="A59" i="15" s="1"/>
  <c r="X43" i="9"/>
  <c r="R48" i="6"/>
  <c r="X42" i="9"/>
  <c r="X48" i="6"/>
  <c r="R49"/>
  <c r="R44" i="9"/>
  <c r="Z43" l="1"/>
  <c r="A119" i="15" s="1"/>
  <c r="Z42" i="9"/>
  <c r="A118" i="15" s="1"/>
  <c r="X49" i="6"/>
  <c r="R45" i="9"/>
  <c r="X44"/>
  <c r="R50" i="6"/>
  <c r="X45" i="9"/>
  <c r="Z49" i="6" l="1"/>
  <c r="A61" i="15" s="1"/>
  <c r="Z44" i="9"/>
  <c r="A120" i="15" s="1"/>
  <c r="Z45" i="9"/>
  <c r="A121" i="15" s="1"/>
  <c r="R46" i="9"/>
  <c r="X50" i="6"/>
  <c r="R51"/>
  <c r="R52" s="1"/>
  <c r="Z50" l="1"/>
  <c r="A62" i="15" s="1"/>
  <c r="R47" i="9"/>
  <c r="R53" i="6"/>
  <c r="X52"/>
  <c r="X46" i="9"/>
  <c r="X51" i="6"/>
  <c r="Z52" l="1"/>
  <c r="A64" i="15" s="1"/>
  <c r="Z46" i="9"/>
  <c r="A122" i="15" s="1"/>
  <c r="R48" i="9"/>
  <c r="X47"/>
  <c r="X53" i="6"/>
  <c r="R54"/>
  <c r="Z53" l="1"/>
  <c r="A65" i="15" s="1"/>
  <c r="X48" i="9"/>
  <c r="R55" i="6"/>
  <c r="X55"/>
  <c r="X54"/>
  <c r="R49" i="9"/>
  <c r="R50"/>
  <c r="X49"/>
  <c r="Z54" i="6" l="1"/>
  <c r="A66" i="15" s="1"/>
  <c r="Z48" i="9"/>
  <c r="A124" i="15" s="1"/>
  <c r="Z55" i="6"/>
  <c r="A67" i="15" s="1"/>
  <c r="Z49" i="9"/>
  <c r="A125" i="15" s="1"/>
  <c r="R56" i="6"/>
  <c r="R51" i="9"/>
  <c r="X50"/>
  <c r="X56" i="6"/>
  <c r="Z56" l="1"/>
  <c r="A68" i="15" s="1"/>
  <c r="R52" i="9"/>
  <c r="X51"/>
  <c r="R57" i="6"/>
  <c r="R58" s="1"/>
  <c r="Z51" i="9" l="1"/>
  <c r="A127" i="15" s="1"/>
  <c r="R53" i="9"/>
  <c r="X52"/>
  <c r="R59" i="6"/>
  <c r="X58"/>
  <c r="X57"/>
  <c r="R60"/>
  <c r="X59"/>
  <c r="Z52" i="9" l="1"/>
  <c r="A128" i="15" s="1"/>
  <c r="Z58" i="6"/>
  <c r="A70" i="15" s="1"/>
  <c r="Z57" i="6"/>
  <c r="A69" i="15" s="1"/>
  <c r="Z59" i="6"/>
  <c r="A71" i="15" s="1"/>
  <c r="X53" i="9"/>
  <c r="R54"/>
  <c r="X54"/>
  <c r="R55"/>
  <c r="R56" s="1"/>
  <c r="R57" s="1"/>
  <c r="R58" s="1"/>
  <c r="X60" i="6"/>
  <c r="Z54" i="9" l="1"/>
  <c r="A130" i="15" s="1"/>
  <c r="X56" i="9"/>
  <c r="X55"/>
  <c r="X57"/>
  <c r="X58"/>
  <c r="Z58" l="1"/>
  <c r="A134" i="15" s="1"/>
  <c r="Z57" i="9"/>
  <c r="A133" i="15" s="1"/>
  <c r="Z56" i="9"/>
  <c r="A132" i="15" s="1"/>
  <c r="Z55" i="9"/>
  <c r="A131" i="15" s="1"/>
</calcChain>
</file>

<file path=xl/sharedStrings.xml><?xml version="1.0" encoding="utf-8"?>
<sst xmlns="http://schemas.openxmlformats.org/spreadsheetml/2006/main" count="2930" uniqueCount="1841">
  <si>
    <t>May</t>
  </si>
  <si>
    <t>Mei</t>
  </si>
  <si>
    <t>Jun</t>
  </si>
  <si>
    <t>Jul</t>
  </si>
  <si>
    <t>Aug</t>
  </si>
  <si>
    <t>Sep</t>
  </si>
  <si>
    <t>Oct</t>
  </si>
  <si>
    <t>Nov</t>
  </si>
  <si>
    <t>Dec</t>
  </si>
  <si>
    <t>Jan</t>
  </si>
  <si>
    <t>Feb</t>
  </si>
  <si>
    <t>Mar</t>
  </si>
  <si>
    <t>Apr</t>
  </si>
  <si>
    <t>Wednesday / Woensdag</t>
  </si>
  <si>
    <t>Sunday / Sondag</t>
  </si>
  <si>
    <t>Psalms</t>
  </si>
  <si>
    <t>2 Samuel</t>
  </si>
  <si>
    <t>Habakkuk</t>
  </si>
  <si>
    <t>Zephaniah</t>
  </si>
  <si>
    <t>Haggai</t>
  </si>
  <si>
    <t>Galatians</t>
  </si>
  <si>
    <t>Acts</t>
  </si>
  <si>
    <t>Handelinge</t>
  </si>
  <si>
    <t>Galásiërs</t>
  </si>
  <si>
    <t>Philippians</t>
  </si>
  <si>
    <t>Colossians</t>
  </si>
  <si>
    <t>Filippense</t>
  </si>
  <si>
    <t>Kolossense</t>
  </si>
  <si>
    <t>Ephesians</t>
  </si>
  <si>
    <t>Efésiërs</t>
  </si>
  <si>
    <t>1 Thessalonians</t>
  </si>
  <si>
    <t>1 Thessalonicense</t>
  </si>
  <si>
    <t>Hábakuk</t>
  </si>
  <si>
    <t>Sefánja</t>
  </si>
  <si>
    <t>Okt</t>
  </si>
  <si>
    <t>Des</t>
  </si>
  <si>
    <t>Mrt</t>
  </si>
  <si>
    <t xml:space="preserve">
</t>
  </si>
  <si>
    <t xml:space="preserve"> / </t>
  </si>
  <si>
    <t>Wednesday</t>
  </si>
  <si>
    <t>Sunday</t>
  </si>
  <si>
    <t>Woensdag</t>
  </si>
  <si>
    <t>Sondag</t>
  </si>
  <si>
    <t>ID
(please don't change)</t>
  </si>
  <si>
    <t>English</t>
  </si>
  <si>
    <t>Afrikaans</t>
  </si>
  <si>
    <t>Job</t>
  </si>
  <si>
    <t>Ps</t>
  </si>
  <si>
    <t>Mat</t>
  </si>
  <si>
    <t>Luk</t>
  </si>
  <si>
    <t>Joh</t>
  </si>
  <si>
    <t>2Co</t>
  </si>
  <si>
    <t>Eph</t>
  </si>
  <si>
    <t>Gen</t>
  </si>
  <si>
    <t>Heb</t>
  </si>
  <si>
    <t>1Ki</t>
  </si>
  <si>
    <t>2Sa</t>
  </si>
  <si>
    <t>Rom</t>
  </si>
  <si>
    <t>Rev</t>
  </si>
  <si>
    <t>Mal</t>
  </si>
  <si>
    <t>Php</t>
  </si>
  <si>
    <t>1Jo</t>
  </si>
  <si>
    <t>2Th</t>
  </si>
  <si>
    <t>Num</t>
  </si>
  <si>
    <t>Jos</t>
  </si>
  <si>
    <t>Jas</t>
  </si>
  <si>
    <t>1Pe</t>
  </si>
  <si>
    <t>Pro</t>
  </si>
  <si>
    <t>Isa</t>
  </si>
  <si>
    <t>Tit</t>
  </si>
  <si>
    <t>2Ki</t>
  </si>
  <si>
    <t>Act</t>
  </si>
  <si>
    <t>2Pe</t>
  </si>
  <si>
    <t>Gal</t>
  </si>
  <si>
    <t>Lev</t>
  </si>
  <si>
    <t>Deu</t>
  </si>
  <si>
    <t>Jer</t>
  </si>
  <si>
    <t>Eze</t>
  </si>
  <si>
    <t>1Co</t>
  </si>
  <si>
    <t>Amo</t>
  </si>
  <si>
    <t>Ecc</t>
  </si>
  <si>
    <t>Dan</t>
  </si>
  <si>
    <t>Exo</t>
  </si>
  <si>
    <t>2Tim</t>
  </si>
  <si>
    <t>1Tim</t>
  </si>
  <si>
    <t>Jdg</t>
  </si>
  <si>
    <t>1Sa</t>
  </si>
  <si>
    <t>`</t>
  </si>
  <si>
    <t>Book</t>
  </si>
  <si>
    <t>Chapter</t>
  </si>
  <si>
    <t>Day</t>
  </si>
  <si>
    <t>Date</t>
  </si>
  <si>
    <t>\documentclass[english]{article}</t>
  </si>
  <si>
    <t>LangB</t>
  </si>
  <si>
    <t>Chitatu</t>
  </si>
  <si>
    <t>Svondo</t>
  </si>
  <si>
    <t>VaGaratia</t>
  </si>
  <si>
    <t>Mabasa ava apostora</t>
  </si>
  <si>
    <t>VaFiripi</t>
  </si>
  <si>
    <t>VaKorose</t>
  </si>
  <si>
    <t>VaEfeso</t>
  </si>
  <si>
    <t>1 VaTesaronika</t>
  </si>
  <si>
    <t>2 Samueri</t>
  </si>
  <si>
    <t>Habakuki</t>
  </si>
  <si>
    <t>Zefania</t>
  </si>
  <si>
    <t>Hagai</t>
  </si>
  <si>
    <t>VaTong</t>
  </si>
  <si>
    <t>1Madz</t>
  </si>
  <si>
    <t>2Madz</t>
  </si>
  <si>
    <t>Mapis</t>
  </si>
  <si>
    <t>Zvir</t>
  </si>
  <si>
    <t>Mupar</t>
  </si>
  <si>
    <t>Maraki</t>
  </si>
  <si>
    <t>Ruk</t>
  </si>
  <si>
    <t>1VaKor</t>
  </si>
  <si>
    <t>VaEf</t>
  </si>
  <si>
    <t>VaGar</t>
  </si>
  <si>
    <t>Tito</t>
  </si>
  <si>
    <t>VaHeb</t>
  </si>
  <si>
    <t>1Pet</t>
  </si>
  <si>
    <t>2Pet</t>
  </si>
  <si>
    <t>Jak</t>
  </si>
  <si>
    <t>1Joh</t>
  </si>
  <si>
    <t>Zvakaz</t>
  </si>
  <si>
    <t>Shona</t>
  </si>
  <si>
    <t>RefLang</t>
  </si>
  <si>
    <t>Bible Readings</t>
  </si>
  <si>
    <t>Bybellesings</t>
  </si>
  <si>
    <t>CurYear</t>
  </si>
  <si>
    <t>Zvokuverenga</t>
  </si>
  <si>
    <t>Eng Topic</t>
  </si>
  <si>
    <t>AltBook</t>
  </si>
  <si>
    <t>Translated Refs</t>
  </si>
  <si>
    <t>Mt</t>
  </si>
  <si>
    <t>Lk</t>
  </si>
  <si>
    <t>2VaKor</t>
  </si>
  <si>
    <t>Ac</t>
  </si>
  <si>
    <t>List alternative abb. used in English.</t>
  </si>
  <si>
    <t>Settings:</t>
  </si>
  <si>
    <t>Mk</t>
  </si>
  <si>
    <t>1Ti</t>
  </si>
  <si>
    <t>2Ti</t>
  </si>
  <si>
    <t>Ex</t>
  </si>
  <si>
    <t>Lu</t>
  </si>
  <si>
    <t>Ge</t>
  </si>
  <si>
    <t>AltMonth</t>
  </si>
  <si>
    <t>ID number search start on line 50, and id's must be sorted ascending</t>
  </si>
  <si>
    <t>SunATopicWidth</t>
  </si>
  <si>
    <t>WedAChTopicWidth</t>
  </si>
  <si>
    <t>WedBChTopicWidth</t>
  </si>
  <si>
    <t>SunBTopicWidth</t>
  </si>
  <si>
    <t>Kazitatu</t>
  </si>
  <si>
    <t>Ijumaa</t>
  </si>
  <si>
    <t>Wagalatia</t>
  </si>
  <si>
    <t>Matendo</t>
  </si>
  <si>
    <t>Wafilipi</t>
  </si>
  <si>
    <t>Wakolosayo</t>
  </si>
  <si>
    <t>Waefeso</t>
  </si>
  <si>
    <t>1 Watesalonika</t>
  </si>
  <si>
    <t>2 Samweli</t>
  </si>
  <si>
    <t>Zaburi</t>
  </si>
  <si>
    <t>Mwa</t>
  </si>
  <si>
    <t>Kut</t>
  </si>
  <si>
    <t>Law</t>
  </si>
  <si>
    <t>Tor</t>
  </si>
  <si>
    <t>Hes</t>
  </si>
  <si>
    <t>Amu</t>
  </si>
  <si>
    <t>1Sam</t>
  </si>
  <si>
    <t>2Sam</t>
  </si>
  <si>
    <t>1Fal</t>
  </si>
  <si>
    <t>2Fal</t>
  </si>
  <si>
    <t>Yob</t>
  </si>
  <si>
    <t>Zab</t>
  </si>
  <si>
    <t>Mez</t>
  </si>
  <si>
    <t>Muh</t>
  </si>
  <si>
    <t>Yer</t>
  </si>
  <si>
    <t>Yn</t>
  </si>
  <si>
    <t>Mdo</t>
  </si>
  <si>
    <t>1Kor</t>
  </si>
  <si>
    <t>2Kor</t>
  </si>
  <si>
    <t>Flp</t>
  </si>
  <si>
    <t>Efe</t>
  </si>
  <si>
    <t>2Tes</t>
  </si>
  <si>
    <t>Ebr</t>
  </si>
  <si>
    <t>Yak</t>
  </si>
  <si>
    <t>1Yn</t>
  </si>
  <si>
    <t>Ufu</t>
  </si>
  <si>
    <t>}</t>
  </si>
  <si>
    <t>\usepackage{BibleReadings1}</t>
  </si>
  <si>
    <t>Masomo Ya Biblia</t>
  </si>
  <si>
    <t>LangA:</t>
  </si>
  <si>
    <t>DefaultLang:</t>
  </si>
  <si>
    <t>LangA</t>
  </si>
  <si>
    <t>LangA Book</t>
  </si>
  <si>
    <t>This is changed on the Translations Page and by the LangA &amp; LangB settings</t>
  </si>
  <si>
    <t>LangA Month</t>
  </si>
  <si>
    <t>\StartOutput</t>
  </si>
  <si>
    <t>\EndOutput</t>
  </si>
  <si>
    <t>\renewcommand{\WedA}[0]{</t>
  </si>
  <si>
    <t>\renewcommand{\SunA}[0]{</t>
  </si>
  <si>
    <t>Mercredi</t>
  </si>
  <si>
    <t>Dimanche</t>
  </si>
  <si>
    <t>Mai</t>
  </si>
  <si>
    <t>Fev</t>
  </si>
  <si>
    <t>Galates</t>
  </si>
  <si>
    <t>Actes</t>
  </si>
  <si>
    <t>Philippiens</t>
  </si>
  <si>
    <t>Colossiens</t>
  </si>
  <si>
    <t>Ephesiens</t>
  </si>
  <si>
    <t>Psaumes</t>
  </si>
  <si>
    <t>Habacuc</t>
  </si>
  <si>
    <t>Sophonie</t>
  </si>
  <si>
    <t>Lè</t>
  </si>
  <si>
    <t>De</t>
  </si>
  <si>
    <t>No</t>
  </si>
  <si>
    <t>Jg</t>
  </si>
  <si>
    <t>1S</t>
  </si>
  <si>
    <t>2S</t>
  </si>
  <si>
    <t>1R</t>
  </si>
  <si>
    <t>2R</t>
  </si>
  <si>
    <t>Pr</t>
  </si>
  <si>
    <t>Ec</t>
  </si>
  <si>
    <t>Es</t>
  </si>
  <si>
    <t>Jé</t>
  </si>
  <si>
    <t>Èz</t>
  </si>
  <si>
    <t>Da</t>
  </si>
  <si>
    <t>Am</t>
  </si>
  <si>
    <t>Mc</t>
  </si>
  <si>
    <t>Jn</t>
  </si>
  <si>
    <t>Ro</t>
  </si>
  <si>
    <t>2Tm</t>
  </si>
  <si>
    <t>Ph</t>
  </si>
  <si>
    <t>Èp</t>
  </si>
  <si>
    <t>Ga</t>
  </si>
  <si>
    <t>Hè</t>
  </si>
  <si>
    <t>1Pi</t>
  </si>
  <si>
    <t>2Pi</t>
  </si>
  <si>
    <t>Ja</t>
  </si>
  <si>
    <t>OnePagePreview</t>
  </si>
  <si>
    <t>OnePageTwisted</t>
  </si>
  <si>
    <t>TwoPageTwisted</t>
  </si>
  <si>
    <t>Ap</t>
  </si>
  <si>
    <t>Xhosa</t>
  </si>
  <si>
    <t>NgoLweSithathu</t>
  </si>
  <si>
    <t>NgeSonto</t>
  </si>
  <si>
    <t>IzEnzo</t>
  </si>
  <si>
    <t>AmaHubo</t>
  </si>
  <si>
    <t>UHabakuki</t>
  </si>
  <si>
    <t>UZefaniya</t>
  </si>
  <si>
    <t>UHagayi</t>
  </si>
  <si>
    <t>Jobe</t>
  </si>
  <si>
    <t>Isaya</t>
  </si>
  <si>
    <t>Zulu</t>
  </si>
  <si>
    <t>DRC Swahili</t>
  </si>
  <si>
    <t>EA Swahili</t>
  </si>
  <si>
    <t>\renewcommand{\SunB}[0]{%</t>
  </si>
  <si>
    <t>\renewcommand{\WedB}[0]{%</t>
  </si>
  <si>
    <t>Eks</t>
  </si>
  <si>
    <t>Dut</t>
  </si>
  <si>
    <t>Josh</t>
  </si>
  <si>
    <t>AbAhl</t>
  </si>
  <si>
    <t>1 Sam</t>
  </si>
  <si>
    <t>2 Sam</t>
  </si>
  <si>
    <t>1 AmaKh</t>
  </si>
  <si>
    <t>2 AmaKh</t>
  </si>
  <si>
    <t>AmaH</t>
  </si>
  <si>
    <t>IzA</t>
  </si>
  <si>
    <t>Shum</t>
  </si>
  <si>
    <t>Hez</t>
  </si>
  <si>
    <t>Math</t>
  </si>
  <si>
    <t>Mark</t>
  </si>
  <si>
    <t>IzE</t>
  </si>
  <si>
    <t>1 Kor</t>
  </si>
  <si>
    <t>2 Kor</t>
  </si>
  <si>
    <t>Fil</t>
  </si>
  <si>
    <t>Ef</t>
  </si>
  <si>
    <t>Thith</t>
  </si>
  <si>
    <t>IsAmb</t>
  </si>
  <si>
    <t>Izifundo zeBhayibheli</t>
  </si>
  <si>
    <t>Izifundo zeBhayibhile</t>
  </si>
  <si>
    <t>Pali Citatu</t>
  </si>
  <si>
    <t>PaMulungu</t>
  </si>
  <si>
    <t>Imilimo</t>
  </si>
  <si>
    <t>Ukutendeka</t>
  </si>
  <si>
    <t>Ukufuma</t>
  </si>
  <si>
    <t>Impwendwa</t>
  </si>
  <si>
    <t>Abapingushi</t>
  </si>
  <si>
    <t>Amalumbo</t>
  </si>
  <si>
    <t>Amapinda</t>
  </si>
  <si>
    <t>Jakobo</t>
  </si>
  <si>
    <t>Ukusokololwa</t>
  </si>
  <si>
    <t>Bemba</t>
  </si>
  <si>
    <t>Mapis.</t>
  </si>
  <si>
    <t>Abena Galatia</t>
  </si>
  <si>
    <t>Abena Filipi</t>
  </si>
  <si>
    <t>Abena Kolose</t>
  </si>
  <si>
    <t>1Ishaf</t>
  </si>
  <si>
    <t>2Ishaf</t>
  </si>
  <si>
    <t>1 Abena Tesalonika</t>
  </si>
  <si>
    <t>TwoPageSingle</t>
  </si>
  <si>
    <t>Ifyakubelenga muCipingo</t>
  </si>
  <si>
    <t>DebugFrames</t>
  </si>
  <si>
    <t>Jumatano</t>
  </si>
  <si>
    <t>Jumapili</t>
  </si>
  <si>
    <t>Masomo ya Biblia</t>
  </si>
  <si>
    <t>Mac</t>
  </si>
  <si>
    <t>Wakolosai</t>
  </si>
  <si>
    <t>1 Wathesalonike</t>
  </si>
  <si>
    <t>Kum</t>
  </si>
  <si>
    <t>Yos</t>
  </si>
  <si>
    <t>Ayu</t>
  </si>
  <si>
    <t>Mhu</t>
  </si>
  <si>
    <t>Rum</t>
  </si>
  <si>
    <t>2The</t>
  </si>
  <si>
    <t>NgoLwesithathu</t>
  </si>
  <si>
    <t>WedANote</t>
  </si>
  <si>
    <t>WedBNote</t>
  </si>
  <si>
    <t>Português</t>
  </si>
  <si>
    <t>Quarta-Feira</t>
  </si>
  <si>
    <t>Domingo</t>
  </si>
  <si>
    <t>Estudos Bíblicos</t>
  </si>
  <si>
    <t>Ago</t>
  </si>
  <si>
    <t>Set</t>
  </si>
  <si>
    <t>Out</t>
  </si>
  <si>
    <t>Abr</t>
  </si>
  <si>
    <t>Gálatas</t>
  </si>
  <si>
    <t>Filipenses</t>
  </si>
  <si>
    <t>Colossenses</t>
  </si>
  <si>
    <t>Efésios</t>
  </si>
  <si>
    <t>1 Tessalonicenses</t>
  </si>
  <si>
    <t>Salmos</t>
  </si>
  <si>
    <t>Sofonias</t>
  </si>
  <si>
    <t>Ageu</t>
  </si>
  <si>
    <t>Gén</t>
  </si>
  <si>
    <t>Êxo</t>
  </si>
  <si>
    <t>Juíz</t>
  </si>
  <si>
    <t>1Rs</t>
  </si>
  <si>
    <t>2Rs</t>
  </si>
  <si>
    <t>Sal</t>
  </si>
  <si>
    <t>Ecl</t>
  </si>
  <si>
    <t>Amó</t>
  </si>
  <si>
    <t>Luc</t>
  </si>
  <si>
    <t>João</t>
  </si>
  <si>
    <t>1Cor</t>
  </si>
  <si>
    <t>2Cor</t>
  </si>
  <si>
    <t>Efé</t>
  </si>
  <si>
    <t>Gál</t>
  </si>
  <si>
    <t>1Ped</t>
  </si>
  <si>
    <t>2Ped</t>
  </si>
  <si>
    <t>Tia</t>
  </si>
  <si>
    <t>Apoc</t>
  </si>
  <si>
    <t>1 Corinthians</t>
  </si>
  <si>
    <t>1 Korinthiërs</t>
  </si>
  <si>
    <t>2 Thessalonians</t>
  </si>
  <si>
    <t>1 Samuel</t>
  </si>
  <si>
    <t>2 Thessalonicense</t>
  </si>
  <si>
    <t>2 VaTesaronika</t>
  </si>
  <si>
    <t>1 Samueri</t>
  </si>
  <si>
    <t>1 Samweli</t>
  </si>
  <si>
    <t>2 Watesalonika</t>
  </si>
  <si>
    <t>2 Wathesalonike</t>
  </si>
  <si>
    <t>2 Abena Tesalonika</t>
  </si>
  <si>
    <t>2 Tessalonicenses</t>
  </si>
  <si>
    <t>2 Corinthians</t>
  </si>
  <si>
    <t>2 Korinthiërs</t>
  </si>
  <si>
    <t>Ecclesiastes</t>
  </si>
  <si>
    <t>Malachi</t>
  </si>
  <si>
    <t>Prediker</t>
  </si>
  <si>
    <t>Maleági</t>
  </si>
  <si>
    <t>1 Kings</t>
  </si>
  <si>
    <t>1 Konings</t>
  </si>
  <si>
    <t>1Th</t>
  </si>
  <si>
    <t>1VaTes</t>
  </si>
  <si>
    <t>2VaTes</t>
  </si>
  <si>
    <t>1Tes</t>
  </si>
  <si>
    <t>1The</t>
  </si>
  <si>
    <t>Phm</t>
  </si>
  <si>
    <t>Jud</t>
  </si>
  <si>
    <t>2Jo</t>
  </si>
  <si>
    <t>3Jo</t>
  </si>
  <si>
    <t>2Joh</t>
  </si>
  <si>
    <t>3Joh</t>
  </si>
  <si>
    <t>2Yn</t>
  </si>
  <si>
    <t>3Yn</t>
  </si>
  <si>
    <t>Col</t>
  </si>
  <si>
    <t>Watermark</t>
  </si>
  <si>
    <t>Lukala Milandu</t>
  </si>
  <si>
    <t>Malaki</t>
  </si>
  <si>
    <t>1 Ishamfumu</t>
  </si>
  <si>
    <t>Kol</t>
  </si>
  <si>
    <t>Flm</t>
  </si>
  <si>
    <t>Yud</t>
  </si>
  <si>
    <t>1 Wakorintho</t>
  </si>
  <si>
    <t>2 Wakorintho</t>
  </si>
  <si>
    <t>Mhubiri</t>
  </si>
  <si>
    <t>1 Wafalme</t>
  </si>
  <si>
    <t>1 vaKorinte</t>
  </si>
  <si>
    <t>2 vaKorinte</t>
  </si>
  <si>
    <t>Muparidzi</t>
  </si>
  <si>
    <t>1 Madzimambo</t>
  </si>
  <si>
    <t>Judha</t>
  </si>
  <si>
    <t>VaKoro</t>
  </si>
  <si>
    <t>Fir</t>
  </si>
  <si>
    <t>1Thes</t>
  </si>
  <si>
    <t>2Thes</t>
  </si>
  <si>
    <t>1Thim</t>
  </si>
  <si>
    <t>2Thim</t>
  </si>
  <si>
    <t>Filemon</t>
  </si>
  <si>
    <t>Yuda</t>
  </si>
  <si>
    <t>Korinte1</t>
  </si>
  <si>
    <t>Korinte2</t>
  </si>
  <si>
    <t>1 kwabaseKorinte</t>
  </si>
  <si>
    <t>2 kwabaseKorinte</t>
  </si>
  <si>
    <t>UmShumayeli</t>
  </si>
  <si>
    <t>UMalaki</t>
  </si>
  <si>
    <t>AmaKhosi 1</t>
  </si>
  <si>
    <t>Juda</t>
  </si>
  <si>
    <t>1 kwabaseThesalonika</t>
  </si>
  <si>
    <t>2 kwabaseThesalonika</t>
  </si>
  <si>
    <t>Philemon</t>
  </si>
  <si>
    <t>KuFilemon</t>
  </si>
  <si>
    <t>Filémon</t>
  </si>
  <si>
    <t>BookLangA</t>
  </si>
  <si>
    <t>BookLangB</t>
  </si>
  <si>
    <t>Firemoni</t>
  </si>
  <si>
    <t>Ecclesiaste</t>
  </si>
  <si>
    <t>1 Corinthiens</t>
  </si>
  <si>
    <t>2 Corinthiens</t>
  </si>
  <si>
    <t>DRC French</t>
  </si>
  <si>
    <t>Malachie</t>
  </si>
  <si>
    <t>1 Rois</t>
  </si>
  <si>
    <t>Philémon</t>
  </si>
  <si>
    <t>1 Wakoritho</t>
  </si>
  <si>
    <t>2 Wakoritho</t>
  </si>
  <si>
    <t>Muhubiri</t>
  </si>
  <si>
    <t>1 Mfalme</t>
  </si>
  <si>
    <t>Filemoni</t>
  </si>
  <si>
    <t>Rth</t>
  </si>
  <si>
    <t>1Ch</t>
  </si>
  <si>
    <t>2Ch</t>
  </si>
  <si>
    <t>Ezr</t>
  </si>
  <si>
    <t>Neh</t>
  </si>
  <si>
    <t>Est</t>
  </si>
  <si>
    <t>Son</t>
  </si>
  <si>
    <t>Lam</t>
  </si>
  <si>
    <t>Hos</t>
  </si>
  <si>
    <t>Joe</t>
  </si>
  <si>
    <t>Oba</t>
  </si>
  <si>
    <t>Jon</t>
  </si>
  <si>
    <t>Mic</t>
  </si>
  <si>
    <t>Nah</t>
  </si>
  <si>
    <t>Hab</t>
  </si>
  <si>
    <t>Zep</t>
  </si>
  <si>
    <t>Hag</t>
  </si>
  <si>
    <t>Zec</t>
  </si>
  <si>
    <t>Topics to translate</t>
  </si>
  <si>
    <t>2 Kings</t>
  </si>
  <si>
    <t>2 Konings</t>
  </si>
  <si>
    <t>2 Madzimambo</t>
  </si>
  <si>
    <t>2 Mfalme</t>
  </si>
  <si>
    <t>2 Rois</t>
  </si>
  <si>
    <t>AmaKhosi 2</t>
  </si>
  <si>
    <t>2 Wafalme</t>
  </si>
  <si>
    <t>2 Ishamfumu</t>
  </si>
  <si>
    <t>Luke</t>
  </si>
  <si>
    <t>1 Timothy</t>
  </si>
  <si>
    <t>2 Timothy</t>
  </si>
  <si>
    <t>1 John</t>
  </si>
  <si>
    <t>2 John</t>
  </si>
  <si>
    <t>3 John</t>
  </si>
  <si>
    <t>Isaiah</t>
  </si>
  <si>
    <t>Laboraro</t>
  </si>
  <si>
    <t>Sontaha</t>
  </si>
  <si>
    <t>Thuto yaBibele</t>
  </si>
  <si>
    <t>Bagalata</t>
  </si>
  <si>
    <t>Diketso</t>
  </si>
  <si>
    <t>BaFilippi</t>
  </si>
  <si>
    <t>Bakolosse</t>
  </si>
  <si>
    <t>Baefese</t>
  </si>
  <si>
    <t>1 Bathessalonika</t>
  </si>
  <si>
    <t>2 Bathessalonika</t>
  </si>
  <si>
    <t>1 Samuele</t>
  </si>
  <si>
    <t>Dipesaleme</t>
  </si>
  <si>
    <t>Habakuke</t>
  </si>
  <si>
    <t>Sofonia</t>
  </si>
  <si>
    <t>1 Bakorinthe</t>
  </si>
  <si>
    <t>2 Bakorinthe</t>
  </si>
  <si>
    <t>Moeklesia</t>
  </si>
  <si>
    <t>Malakia</t>
  </si>
  <si>
    <t>1 Marena</t>
  </si>
  <si>
    <t>2 Marena</t>
  </si>
  <si>
    <t>Filemone</t>
  </si>
  <si>
    <t>Baahl</t>
  </si>
  <si>
    <t>Dipes</t>
  </si>
  <si>
    <t>Rut</t>
  </si>
  <si>
    <t>1Mar</t>
  </si>
  <si>
    <t>2Mar</t>
  </si>
  <si>
    <t>1Dikr</t>
  </si>
  <si>
    <t>2Dikr</t>
  </si>
  <si>
    <t>Esd</t>
  </si>
  <si>
    <t>Dipro</t>
  </si>
  <si>
    <t>Moek</t>
  </si>
  <si>
    <t>Sef</t>
  </si>
  <si>
    <t>Esa</t>
  </si>
  <si>
    <t>Dil</t>
  </si>
  <si>
    <t>Mik</t>
  </si>
  <si>
    <t>Sof</t>
  </si>
  <si>
    <t>Zak</t>
  </si>
  <si>
    <t>Dike</t>
  </si>
  <si>
    <t>Tsh</t>
  </si>
  <si>
    <t>Jesaja</t>
  </si>
  <si>
    <t>1 Timótheüs</t>
  </si>
  <si>
    <t>2 Timótheüs</t>
  </si>
  <si>
    <t>Lukas</t>
  </si>
  <si>
    <t>1 Johannes</t>
  </si>
  <si>
    <t>2 Johannes</t>
  </si>
  <si>
    <t>3 Johannes</t>
  </si>
  <si>
    <t>1 Timothea</t>
  </si>
  <si>
    <t>2 Timothea</t>
  </si>
  <si>
    <t>Luka</t>
  </si>
  <si>
    <t>1 Johanne</t>
  </si>
  <si>
    <t>2 Johanne</t>
  </si>
  <si>
    <t>3 Johanne</t>
  </si>
  <si>
    <t>SeSotho</t>
  </si>
  <si>
    <t>Deut</t>
  </si>
  <si>
    <t>Rute</t>
  </si>
  <si>
    <t>1 Mak</t>
  </si>
  <si>
    <t>2 Mak</t>
  </si>
  <si>
    <t>Nehem</t>
  </si>
  <si>
    <t>Mariro</t>
  </si>
  <si>
    <t>Jona</t>
  </si>
  <si>
    <t>Mika</t>
  </si>
  <si>
    <t>Habak</t>
  </si>
  <si>
    <t>Zef</t>
  </si>
  <si>
    <t>Zek</t>
  </si>
  <si>
    <t>Rwiyo</t>
  </si>
  <si>
    <t>1 Timotio</t>
  </si>
  <si>
    <t>2 Timotio</t>
  </si>
  <si>
    <t>Ruka</t>
  </si>
  <si>
    <t>1 Johani</t>
  </si>
  <si>
    <t>2 Johani</t>
  </si>
  <si>
    <t>3 Johani</t>
  </si>
  <si>
    <t>U-Isaya</t>
  </si>
  <si>
    <t>1 kuThimothewu</t>
  </si>
  <si>
    <t>2 kuThimothewu</t>
  </si>
  <si>
    <t>NgokukaLuka</t>
  </si>
  <si>
    <t>Esaya</t>
  </si>
  <si>
    <t>ULuka</t>
  </si>
  <si>
    <t>1 KuTimoti</t>
  </si>
  <si>
    <t>2 KuTimoti</t>
  </si>
  <si>
    <t>1 KaYohane</t>
  </si>
  <si>
    <t>2 KaYohane</t>
  </si>
  <si>
    <t>3 KaYohane</t>
  </si>
  <si>
    <t>Maba</t>
  </si>
  <si>
    <t>VaFir</t>
  </si>
  <si>
    <t>AbaGw</t>
  </si>
  <si>
    <t>1 Kum</t>
  </si>
  <si>
    <t>2 Kum</t>
  </si>
  <si>
    <t>1 Kro</t>
  </si>
  <si>
    <t>2 Kro</t>
  </si>
  <si>
    <t>IiNdu</t>
  </si>
  <si>
    <t>ImiZek</t>
  </si>
  <si>
    <t>INtsh</t>
  </si>
  <si>
    <t>IsiHlab</t>
  </si>
  <si>
    <t>INgo</t>
  </si>
  <si>
    <t>IsiLilo</t>
  </si>
  <si>
    <t>IziLilo</t>
  </si>
  <si>
    <t>Ob</t>
  </si>
  <si>
    <t>Yona</t>
  </si>
  <si>
    <t>Yoh</t>
  </si>
  <si>
    <t>IZe</t>
  </si>
  <si>
    <t>1Yoh</t>
  </si>
  <si>
    <t>2Yoh</t>
  </si>
  <si>
    <t>3Yoh</t>
  </si>
  <si>
    <t>IsiTyh</t>
  </si>
  <si>
    <t>1 kaJohane</t>
  </si>
  <si>
    <t>2 kaJohane</t>
  </si>
  <si>
    <t>3 kaJohane</t>
  </si>
  <si>
    <t>WedWidth</t>
  </si>
  <si>
    <t>SunWidth</t>
  </si>
  <si>
    <t>1 IziKr</t>
  </si>
  <si>
    <t>2 IziKr</t>
  </si>
  <si>
    <t>1 Timotheo</t>
  </si>
  <si>
    <t>2 Timotheo</t>
  </si>
  <si>
    <t>1 Yohana</t>
  </si>
  <si>
    <t>2 Yohana</t>
  </si>
  <si>
    <t>3 Yohana</t>
  </si>
  <si>
    <t>1 Timothée</t>
  </si>
  <si>
    <t>2 Timothée</t>
  </si>
  <si>
    <t>1 Jean</t>
  </si>
  <si>
    <t>2 Jean</t>
  </si>
  <si>
    <t>3 Jean</t>
  </si>
  <si>
    <t>Ésaïe</t>
  </si>
  <si>
    <t>SettingsLang</t>
  </si>
  <si>
    <t>Hebrews</t>
  </si>
  <si>
    <t>1</t>
  </si>
  <si>
    <t>4</t>
  </si>
  <si>
    <t>5</t>
  </si>
  <si>
    <t>8</t>
  </si>
  <si>
    <t>3</t>
  </si>
  <si>
    <t>John</t>
  </si>
  <si>
    <t>James</t>
  </si>
  <si>
    <t>9 &amp; 10</t>
  </si>
  <si>
    <t>Mr</t>
  </si>
  <si>
    <t>Johannes</t>
  </si>
  <si>
    <t>Yohana</t>
  </si>
  <si>
    <t>Jean</t>
  </si>
  <si>
    <t>Johanne</t>
  </si>
  <si>
    <t>1 Peter</t>
  </si>
  <si>
    <t>Jude</t>
  </si>
  <si>
    <t>Revelation</t>
  </si>
  <si>
    <t>Matthew</t>
  </si>
  <si>
    <t>Romans</t>
  </si>
  <si>
    <t>Titus</t>
  </si>
  <si>
    <t>Jakobus</t>
  </si>
  <si>
    <t>Hebreërs</t>
  </si>
  <si>
    <t>1 Petrus</t>
  </si>
  <si>
    <t>Judas</t>
  </si>
  <si>
    <t>Openbaring</t>
  </si>
  <si>
    <t>Markus</t>
  </si>
  <si>
    <t>Romeine</t>
  </si>
  <si>
    <t>Matthéüs</t>
  </si>
  <si>
    <t>Translation tips</t>
  </si>
  <si>
    <t>NgokukaJohane</t>
  </si>
  <si>
    <t>EkaJakobe</t>
  </si>
  <si>
    <t>KumaHeberu</t>
  </si>
  <si>
    <t>1 kaPetru</t>
  </si>
  <si>
    <t>EkaJuda</t>
  </si>
  <si>
    <t>IsAmbulo</t>
  </si>
  <si>
    <t>NgokukaMathewu</t>
  </si>
  <si>
    <t>NgokukaMarku</t>
  </si>
  <si>
    <t>KwabaseRoma</t>
  </si>
  <si>
    <t>KuThithu</t>
  </si>
  <si>
    <t>BaHeberu</t>
  </si>
  <si>
    <t>1 Petrose</t>
  </si>
  <si>
    <t>Tshenolo</t>
  </si>
  <si>
    <t>Mattheu</t>
  </si>
  <si>
    <t>Mareka</t>
  </si>
  <si>
    <t>BaRoma</t>
  </si>
  <si>
    <t>Tite</t>
  </si>
  <si>
    <t>VaHeberu</t>
  </si>
  <si>
    <t>Zvakazarurwa</t>
  </si>
  <si>
    <t>Mateo</t>
  </si>
  <si>
    <t>Mako</t>
  </si>
  <si>
    <t>VaRoma</t>
  </si>
  <si>
    <t>Re</t>
  </si>
  <si>
    <t>UYohane</t>
  </si>
  <si>
    <t>EkaYakobi</t>
  </si>
  <si>
    <t>EkaYuda</t>
  </si>
  <si>
    <t>Isityhilelo</t>
  </si>
  <si>
    <t>UMateyu</t>
  </si>
  <si>
    <t>UMarko</t>
  </si>
  <si>
    <t>KuTito</t>
  </si>
  <si>
    <t>1Chr</t>
  </si>
  <si>
    <t>2Chr</t>
  </si>
  <si>
    <t>Nu</t>
  </si>
  <si>
    <t>Ne</t>
  </si>
  <si>
    <t>Abbreviations</t>
  </si>
  <si>
    <t>Phn</t>
  </si>
  <si>
    <t>VaRo</t>
  </si>
  <si>
    <t>Johane</t>
  </si>
  <si>
    <t>KuMahebhere</t>
  </si>
  <si>
    <t>Filem</t>
  </si>
  <si>
    <t>SelectedLang</t>
  </si>
  <si>
    <t xml:space="preserve">Yakobo </t>
  </si>
  <si>
    <t xml:space="preserve">Yuda </t>
  </si>
  <si>
    <t>Marko</t>
  </si>
  <si>
    <t>Abena Roma</t>
  </si>
  <si>
    <t xml:space="preserve">Tito </t>
  </si>
  <si>
    <t>Yakobo</t>
  </si>
  <si>
    <t>Who/What to Pray for - Wie/Waarvoor om te Bxxxxxx</t>
  </si>
  <si>
    <t>Jacques</t>
  </si>
  <si>
    <t>Hébreux</t>
  </si>
  <si>
    <t>1 Pierre</t>
  </si>
  <si>
    <t>Apocalypse</t>
  </si>
  <si>
    <t>Matthieu</t>
  </si>
  <si>
    <t>Marc</t>
  </si>
  <si>
    <t>Romains</t>
  </si>
  <si>
    <t>Waebrania</t>
  </si>
  <si>
    <t>1 Petro</t>
  </si>
  <si>
    <t>Ufunuo wa Yohanna</t>
  </si>
  <si>
    <t>Mathayo</t>
  </si>
  <si>
    <t>Warumi</t>
  </si>
  <si>
    <t>IO French</t>
  </si>
  <si>
    <t>StartDate</t>
  </si>
  <si>
    <t>2 Peter</t>
  </si>
  <si>
    <t>2 Petrus</t>
  </si>
  <si>
    <t>2 Petro</t>
  </si>
  <si>
    <t>2 kaPetru</t>
  </si>
  <si>
    <t>2 Petrose</t>
  </si>
  <si>
    <t>1Peter</t>
  </si>
  <si>
    <t>2Peter</t>
  </si>
  <si>
    <t>21</t>
  </si>
  <si>
    <t>Deuteronomy</t>
  </si>
  <si>
    <t>Esther</t>
  </si>
  <si>
    <t/>
  </si>
  <si>
    <t>24</t>
  </si>
  <si>
    <t>Genesis</t>
  </si>
  <si>
    <t>Exodus</t>
  </si>
  <si>
    <t>Leviticus</t>
  </si>
  <si>
    <t>Numbers</t>
  </si>
  <si>
    <t>Joshua</t>
  </si>
  <si>
    <t>Judges</t>
  </si>
  <si>
    <t>Ruth</t>
  </si>
  <si>
    <t>1 Chronicles</t>
  </si>
  <si>
    <t>2 Chronicles</t>
  </si>
  <si>
    <t>Nehemia</t>
  </si>
  <si>
    <t>Proverbs</t>
  </si>
  <si>
    <t>Song of Solomon</t>
  </si>
  <si>
    <t>Jeremiah</t>
  </si>
  <si>
    <t>Lamentations</t>
  </si>
  <si>
    <t>Ezekiel</t>
  </si>
  <si>
    <t>Daniel</t>
  </si>
  <si>
    <t>Hosea</t>
  </si>
  <si>
    <t>Joel</t>
  </si>
  <si>
    <t>Amos</t>
  </si>
  <si>
    <t>Obadiah</t>
  </si>
  <si>
    <t>Jonah</t>
  </si>
  <si>
    <t>Micah</t>
  </si>
  <si>
    <t>Nahum</t>
  </si>
  <si>
    <t>Zechariah</t>
  </si>
  <si>
    <t>Sagaría</t>
  </si>
  <si>
    <t>Levítikus</t>
  </si>
  <si>
    <t>Númeri</t>
  </si>
  <si>
    <t>Deuteronómium</t>
  </si>
  <si>
    <t>Josua</t>
  </si>
  <si>
    <t>Rigters</t>
  </si>
  <si>
    <t>1 Kronieke</t>
  </si>
  <si>
    <t>2 Kronieke</t>
  </si>
  <si>
    <t>Esra</t>
  </si>
  <si>
    <t>Nehemía</t>
  </si>
  <si>
    <t>Ester</t>
  </si>
  <si>
    <t>Spreuke</t>
  </si>
  <si>
    <t>Hooglied</t>
  </si>
  <si>
    <t>Jeremia</t>
  </si>
  <si>
    <t>Klaagliedere</t>
  </si>
  <si>
    <t>Eségiël</t>
  </si>
  <si>
    <t>Daniël</t>
  </si>
  <si>
    <t>Hoséa</t>
  </si>
  <si>
    <t>Joël</t>
  </si>
  <si>
    <t>Obadja</t>
  </si>
  <si>
    <t>Miga</t>
  </si>
  <si>
    <t>Génesis</t>
  </si>
  <si>
    <t>IziKronike 1</t>
  </si>
  <si>
    <t>IziKronike 2</t>
  </si>
  <si>
    <t>UGenesise</t>
  </si>
  <si>
    <t>U-Eksodusi</t>
  </si>
  <si>
    <t>ULevitikusi</t>
  </si>
  <si>
    <t>UNumeri</t>
  </si>
  <si>
    <t>UDuteronomi</t>
  </si>
  <si>
    <t>UJoshuwa</t>
  </si>
  <si>
    <t>AbAhluleli</t>
  </si>
  <si>
    <t>URuthe</t>
  </si>
  <si>
    <t>U-Ezra</t>
  </si>
  <si>
    <t>UNehemiya</t>
  </si>
  <si>
    <t>U-Esteri</t>
  </si>
  <si>
    <t>UJobe</t>
  </si>
  <si>
    <t>IzAga</t>
  </si>
  <si>
    <t>UJeremiya</t>
  </si>
  <si>
    <t>UHezekeli</t>
  </si>
  <si>
    <t>UDaniyeli</t>
  </si>
  <si>
    <t>UHoseya</t>
  </si>
  <si>
    <t>UJoweli</t>
  </si>
  <si>
    <t>U-Amose</t>
  </si>
  <si>
    <t>U-Obadiya</t>
  </si>
  <si>
    <t>UJona</t>
  </si>
  <si>
    <t>UMika</t>
  </si>
  <si>
    <t>UNahume</t>
  </si>
  <si>
    <t>UZakariya</t>
  </si>
  <si>
    <t>1 Mambo ya Nyakati</t>
  </si>
  <si>
    <t>2 Mambo ya Nyakati</t>
  </si>
  <si>
    <t>Kutoka</t>
  </si>
  <si>
    <t>Hesabu</t>
  </si>
  <si>
    <t>Kumbukumbu</t>
  </si>
  <si>
    <t>Yoshua</t>
  </si>
  <si>
    <t>Waamuzi</t>
  </si>
  <si>
    <t>Ruthu</t>
  </si>
  <si>
    <t>Ezra</t>
  </si>
  <si>
    <t>Esta</t>
  </si>
  <si>
    <t>Ayubu</t>
  </si>
  <si>
    <t>Mithali</t>
  </si>
  <si>
    <t>Wimbo Ulio Bora</t>
  </si>
  <si>
    <t>Yeremia</t>
  </si>
  <si>
    <t>Maombolezo</t>
  </si>
  <si>
    <t>Ezekieli</t>
  </si>
  <si>
    <t>Danieli</t>
  </si>
  <si>
    <t>Yoeli</t>
  </si>
  <si>
    <t>Amosi</t>
  </si>
  <si>
    <t>Obadai</t>
  </si>
  <si>
    <t>Nahumu</t>
  </si>
  <si>
    <t>Zekaria</t>
  </si>
  <si>
    <t>Genèse</t>
  </si>
  <si>
    <t>Exode</t>
  </si>
  <si>
    <t>Lévitique</t>
  </si>
  <si>
    <t>Nombres</t>
  </si>
  <si>
    <t>Deutéronome</t>
  </si>
  <si>
    <t>Josué</t>
  </si>
  <si>
    <t>Juges</t>
  </si>
  <si>
    <t>1 Chroniques</t>
  </si>
  <si>
    <t>2 Chroniques</t>
  </si>
  <si>
    <t>Esdras</t>
  </si>
  <si>
    <t>Néhémie</t>
  </si>
  <si>
    <t>Proverbes</t>
  </si>
  <si>
    <t>Cantique des Cantiques</t>
  </si>
  <si>
    <t>Jérémie</t>
  </si>
  <si>
    <t>Ézéchiel</t>
  </si>
  <si>
    <t>Osée</t>
  </si>
  <si>
    <t>Abdias</t>
  </si>
  <si>
    <t>Jonas</t>
  </si>
  <si>
    <t>Michée</t>
  </si>
  <si>
    <t>Zacharie</t>
  </si>
  <si>
    <t>Ubwina Lebi</t>
  </si>
  <si>
    <t>Impendwa</t>
  </si>
  <si>
    <t>Amalango</t>
  </si>
  <si>
    <t>Ruti</t>
  </si>
  <si>
    <t>1 Imilandu</t>
  </si>
  <si>
    <t>2 Imilandu</t>
  </si>
  <si>
    <t>Estere</t>
  </si>
  <si>
    <t>Yobo</t>
  </si>
  <si>
    <t>Ulwimbo lwa Nyimbo</t>
  </si>
  <si>
    <t>Inyimbo sha Bulanda</t>
  </si>
  <si>
    <t>Esekiele</t>
  </si>
  <si>
    <t>Daniele</t>
  </si>
  <si>
    <t>Yoele</t>
  </si>
  <si>
    <t>Amose</t>
  </si>
  <si>
    <t>Obadia</t>
  </si>
  <si>
    <t>Sefania</t>
  </si>
  <si>
    <t>Sekaria</t>
  </si>
  <si>
    <t>1 Timote</t>
  </si>
  <si>
    <t>2 Timote</t>
  </si>
  <si>
    <t>1 Yohane</t>
  </si>
  <si>
    <t>2 Yohane</t>
  </si>
  <si>
    <t>3 Yohane</t>
  </si>
  <si>
    <t>Vatongi</t>
  </si>
  <si>
    <t>Walawi</t>
  </si>
  <si>
    <t>Rwiyo Rukuru rwa Soromoni</t>
  </si>
  <si>
    <t>Joere</t>
  </si>
  <si>
    <t>Nahumi</t>
  </si>
  <si>
    <t>IsiHlabelelo seziHlabelelo</t>
  </si>
  <si>
    <t>Gênesis</t>
  </si>
  <si>
    <t>Êxodus</t>
  </si>
  <si>
    <t>Levítico</t>
  </si>
  <si>
    <t>1 Reis</t>
  </si>
  <si>
    <t>2 Reis</t>
  </si>
  <si>
    <t>1 Crônicas</t>
  </si>
  <si>
    <t>Provérbios</t>
  </si>
  <si>
    <t>Cantares de Salomão</t>
  </si>
  <si>
    <t>Oseias</t>
  </si>
  <si>
    <t>Zacarias</t>
  </si>
  <si>
    <t>Malaquias</t>
  </si>
  <si>
    <t>Mateus</t>
  </si>
  <si>
    <t>Marcos</t>
  </si>
  <si>
    <t>Lucas</t>
  </si>
  <si>
    <t>Romanos</t>
  </si>
  <si>
    <t>1 Coríntios</t>
  </si>
  <si>
    <t>2 Coríntios</t>
  </si>
  <si>
    <t>1 Timóteo</t>
  </si>
  <si>
    <t>2 Timóteo</t>
  </si>
  <si>
    <t>Tiago</t>
  </si>
  <si>
    <t>Hebreus</t>
  </si>
  <si>
    <t>1 Pedro</t>
  </si>
  <si>
    <t>2 Pedro</t>
  </si>
  <si>
    <t>1 João</t>
  </si>
  <si>
    <t>2 João</t>
  </si>
  <si>
    <t>3 João</t>
  </si>
  <si>
    <t>Apocolipse</t>
  </si>
  <si>
    <t xml:space="preserve">IGenesis </t>
  </si>
  <si>
    <t xml:space="preserve">UEzra </t>
  </si>
  <si>
    <t xml:space="preserve">UYobhi </t>
  </si>
  <si>
    <t xml:space="preserve">IEksodus </t>
  </si>
  <si>
    <t xml:space="preserve">ILevitikus </t>
  </si>
  <si>
    <t xml:space="preserve">INumeri </t>
  </si>
  <si>
    <t xml:space="preserve">IDuteronomi </t>
  </si>
  <si>
    <t xml:space="preserve">UYoshuwa </t>
  </si>
  <si>
    <t xml:space="preserve">Abagwebi </t>
  </si>
  <si>
    <t xml:space="preserve">1 IziKronike </t>
  </si>
  <si>
    <t xml:space="preserve">2 IziKronike </t>
  </si>
  <si>
    <t xml:space="preserve">UNehemiya </t>
  </si>
  <si>
    <t xml:space="preserve">UEstere </t>
  </si>
  <si>
    <t xml:space="preserve">ImiZekeliso </t>
  </si>
  <si>
    <t xml:space="preserve">Ingoma yazo iingoma </t>
  </si>
  <si>
    <t xml:space="preserve">UYeremiya </t>
  </si>
  <si>
    <t>Izililo</t>
  </si>
  <si>
    <t xml:space="preserve">UHezekile </t>
  </si>
  <si>
    <t xml:space="preserve">UDaniyeli </t>
  </si>
  <si>
    <t xml:space="preserve">UHoseya </t>
  </si>
  <si>
    <t xml:space="preserve">UYoweli </t>
  </si>
  <si>
    <t xml:space="preserve">UAmosI </t>
  </si>
  <si>
    <t xml:space="preserve">UObhadiya </t>
  </si>
  <si>
    <t xml:space="preserve">UYona </t>
  </si>
  <si>
    <t xml:space="preserve">UMika </t>
  </si>
  <si>
    <t>Unahum</t>
  </si>
  <si>
    <t>Uzekariya</t>
  </si>
  <si>
    <t>Genese</t>
  </si>
  <si>
    <t>Eksoda</t>
  </si>
  <si>
    <t>Levitike</t>
  </si>
  <si>
    <t>Numere</t>
  </si>
  <si>
    <t>Deuteronoma</t>
  </si>
  <si>
    <t>Baahlodi</t>
  </si>
  <si>
    <t>Ruthe</t>
  </si>
  <si>
    <t>1 Dikronike</t>
  </si>
  <si>
    <t>2 Dikronike</t>
  </si>
  <si>
    <t>Esdrase</t>
  </si>
  <si>
    <t>Esthere</t>
  </si>
  <si>
    <t>Jobo</t>
  </si>
  <si>
    <t>Diproverbia</t>
  </si>
  <si>
    <t>Sefela sa Salomone</t>
  </si>
  <si>
    <t>Esaia</t>
  </si>
  <si>
    <t>Dillo tsa Jeremia</t>
  </si>
  <si>
    <t>Joele</t>
  </si>
  <si>
    <t>Jonase</t>
  </si>
  <si>
    <t>Mikea</t>
  </si>
  <si>
    <t>Nahume</t>
  </si>
  <si>
    <t>Sakaria</t>
  </si>
  <si>
    <t>Going from Strength to Strength \ Ukutwalilila mumaka nakulxxggn.</t>
  </si>
  <si>
    <t>Who/What to Pray for - Wie/Waarvoor om te Bid,,,,,xxxxn</t>
  </si>
  <si>
    <t>Miracle of God's Forgiveness \ Icipeshamano cakwa Legglnnnnnnn</t>
  </si>
  <si>
    <t>Who/What to Pray for -- Wie/Waarvoor om te Bid..xxxxxxnnn.</t>
  </si>
  <si>
    <t>Genesi</t>
  </si>
  <si>
    <t>Eksodo</t>
  </si>
  <si>
    <t>Revitiko</t>
  </si>
  <si>
    <t>Numeri</t>
  </si>
  <si>
    <t>Deuteronomio</t>
  </si>
  <si>
    <t>1 Makoronike</t>
  </si>
  <si>
    <t>2 Makoronike</t>
  </si>
  <si>
    <t>Ezekieri</t>
  </si>
  <si>
    <t>Danieri</t>
  </si>
  <si>
    <t>Aggée</t>
  </si>
  <si>
    <t>2 Pierre</t>
  </si>
  <si>
    <t>Mwanzo</t>
  </si>
  <si>
    <t>1John</t>
  </si>
  <si>
    <t>2John</t>
  </si>
  <si>
    <t>3John</t>
  </si>
  <si>
    <t>1Samuel</t>
  </si>
  <si>
    <t>2Samuel</t>
  </si>
  <si>
    <t>1Kings</t>
  </si>
  <si>
    <t>2Kings</t>
  </si>
  <si>
    <t>1Chronicles</t>
  </si>
  <si>
    <t>2Chronicles</t>
  </si>
  <si>
    <t>1Corinthians</t>
  </si>
  <si>
    <t>2Corinthians</t>
  </si>
  <si>
    <t>1Thessalonians</t>
  </si>
  <si>
    <t>2Thessalonians</t>
  </si>
  <si>
    <t>1Timothy</t>
  </si>
  <si>
    <t>2Timothy</t>
  </si>
  <si>
    <t>Petros 1</t>
  </si>
  <si>
    <t>Petros 2</t>
  </si>
  <si>
    <t>FinalCopy</t>
  </si>
  <si>
    <t>Zvirevo</t>
  </si>
  <si>
    <t>Kumkani 1</t>
  </si>
  <si>
    <t>Kumkani 2</t>
  </si>
  <si>
    <t>Please don’t edit on this sheet</t>
  </si>
  <si>
    <t>Psalm</t>
  </si>
  <si>
    <t>Jaison: 0777 749 499</t>
  </si>
  <si>
    <t>Who/What to Pray for -- Wie/Waarvoor omxxxxxx</t>
  </si>
  <si>
    <t xml:space="preserve">Etudes Bibliques </t>
  </si>
  <si>
    <t>jan</t>
  </si>
  <si>
    <t>fév</t>
  </si>
  <si>
    <t>mar</t>
  </si>
  <si>
    <t>avr</t>
  </si>
  <si>
    <t>mai</t>
  </si>
  <si>
    <t>juin</t>
  </si>
  <si>
    <t>juil</t>
  </si>
  <si>
    <t>aoút</t>
  </si>
  <si>
    <t>sept</t>
  </si>
  <si>
    <t>oct</t>
  </si>
  <si>
    <t>nov</t>
  </si>
  <si>
    <t>déc</t>
  </si>
  <si>
    <t>Fullness of God's Provision \ Kuyazwa navile tunapatixxxxxxxxxxxxx</t>
  </si>
  <si>
    <t>List book names in English only</t>
  </si>
  <si>
    <t>Abbreviation</t>
  </si>
  <si>
    <t>Eng</t>
  </si>
  <si>
    <t>EA</t>
  </si>
  <si>
    <t>DRC</t>
  </si>
  <si>
    <t>Draft Version</t>
  </si>
  <si>
    <t>LangSettingActive</t>
  </si>
  <si>
    <t>EngAfr</t>
  </si>
  <si>
    <t>ShonaEng</t>
  </si>
  <si>
    <t>XhosaEng</t>
  </si>
  <si>
    <t>ZuluEng</t>
  </si>
  <si>
    <t>BembaEng</t>
  </si>
  <si>
    <t>PortEng</t>
  </si>
  <si>
    <t>SothoEng</t>
  </si>
  <si>
    <t>FrenchEng</t>
  </si>
  <si>
    <t>7</t>
  </si>
  <si>
    <t>5 &amp; 6</t>
  </si>
  <si>
    <t>11 &amp; 12</t>
  </si>
  <si>
    <t>22</t>
  </si>
  <si>
    <t>3 &amp; 4</t>
  </si>
  <si>
    <t>KwabaseGalathiya</t>
  </si>
  <si>
    <t>Kwabase-Efesu</t>
  </si>
  <si>
    <t>KwabaseFilipi</t>
  </si>
  <si>
    <t>KwabaseKolose</t>
  </si>
  <si>
    <t>URute</t>
  </si>
  <si>
    <t>1 ka Samweli</t>
  </si>
  <si>
    <t>2 ka Samweli</t>
  </si>
  <si>
    <t>IiNdumiso</t>
  </si>
  <si>
    <t>UHabhakuki</t>
  </si>
  <si>
    <t>UMsebanzi waba Thunywa</t>
  </si>
  <si>
    <t>KumaGalati</t>
  </si>
  <si>
    <t>Kwasabase-Efese</t>
  </si>
  <si>
    <t>KwasabaseFilipi</t>
  </si>
  <si>
    <t>KwasabaseKolose</t>
  </si>
  <si>
    <t>1 kwasabaseTesalonika</t>
  </si>
  <si>
    <t>2 kwasabaseTesalonika</t>
  </si>
  <si>
    <t>KuFilmon</t>
  </si>
  <si>
    <t>NgeCawe</t>
  </si>
  <si>
    <t>9</t>
  </si>
  <si>
    <t>10</t>
  </si>
  <si>
    <t>14:32-72</t>
  </si>
  <si>
    <t>11&amp;12</t>
  </si>
  <si>
    <t>13&amp;14</t>
  </si>
  <si>
    <t>Walking Where We Have Never Walked Before</t>
  </si>
  <si>
    <t>13 &amp; 14</t>
  </si>
  <si>
    <t>15 &amp; 16</t>
  </si>
  <si>
    <t>17 &amp; 18</t>
  </si>
  <si>
    <t>14:1-31</t>
  </si>
  <si>
    <t xml:space="preserve">God gives victory and healing / </t>
  </si>
  <si>
    <t xml:space="preserve">God turns the curse into a blessing
</t>
  </si>
  <si>
    <t xml:space="preserve">God is sovereign in all His ways
</t>
  </si>
  <si>
    <t xml:space="preserve">Downward tendency of human nature
</t>
  </si>
  <si>
    <t xml:space="preserve">Equipping the next generation
</t>
  </si>
  <si>
    <t xml:space="preserve">Reviewing the past
</t>
  </si>
  <si>
    <t xml:space="preserve">Way of blessing &amp; way of judgment
</t>
  </si>
  <si>
    <t xml:space="preserve">Submitting to God brings true freedom
</t>
  </si>
  <si>
    <t xml:space="preserve">God never sleeps
</t>
  </si>
  <si>
    <t xml:space="preserve">A prayer for guidance / </t>
  </si>
  <si>
    <t xml:space="preserve">How great Thou art
</t>
  </si>
  <si>
    <t xml:space="preserve">Enemies without and within
</t>
  </si>
  <si>
    <t xml:space="preserve">Encouragement; Equipped for the Task
</t>
  </si>
  <si>
    <t xml:space="preserve">God uses the Willing and Obedient; / </t>
  </si>
  <si>
    <t xml:space="preserve">The witness of faith
</t>
  </si>
  <si>
    <t xml:space="preserve">Preparing for victory / </t>
  </si>
  <si>
    <t xml:space="preserve">The conquest begins
</t>
  </si>
  <si>
    <t xml:space="preserve">Defeat in the land of victory
</t>
  </si>
  <si>
    <t xml:space="preserve">Turning defeat into victory / </t>
  </si>
  <si>
    <t xml:space="preserve">Living with the consequences of our decisions
</t>
  </si>
  <si>
    <t xml:space="preserve">Heaven fighting our battles / </t>
  </si>
  <si>
    <t xml:space="preserve">Battles we cannot Afford to Lose / </t>
  </si>
  <si>
    <t xml:space="preserve">A fight to the finish / </t>
  </si>
  <si>
    <t xml:space="preserve">Not one word failed of all God promised / </t>
  </si>
  <si>
    <t xml:space="preserve">Future dangers
</t>
  </si>
  <si>
    <t xml:space="preserve">Renewed commitment
</t>
  </si>
  <si>
    <t xml:space="preserve">The truthfulness of God's word
</t>
  </si>
  <si>
    <t xml:space="preserve">The faithfulness of God's mercy / </t>
  </si>
  <si>
    <t xml:space="preserve">No reason to quit
</t>
  </si>
  <si>
    <t xml:space="preserve">Don't despair, wait in faith
</t>
  </si>
  <si>
    <t xml:space="preserve">Longing to deepen our relationship with God / </t>
  </si>
  <si>
    <t xml:space="preserve">Appreciation for God's loving condescension / </t>
  </si>
  <si>
    <t xml:space="preserve">Admiring the glory of God / </t>
  </si>
  <si>
    <r>
      <t>Unexpected ways God works</t>
    </r>
    <r>
      <rPr>
        <sz val="12"/>
        <color theme="1"/>
        <rFont val="Tahoma"/>
        <family val="2"/>
      </rPr>
      <t xml:space="preserve">  Gen 19:18; 48:17-19; 50:20; Job 26:14; Isa 45:9-13; Dan 4:35; Mt 3:15; 16:22; Rom 11:33</t>
    </r>
  </si>
  <si>
    <r>
      <t>Consistency</t>
    </r>
    <r>
      <rPr>
        <sz val="12"/>
        <rFont val="Tahoma"/>
        <family val="2"/>
      </rPr>
      <t xml:space="preserve">  Ps 33:11; 102:27; Mal 3:6; Heb 1:12; 13:8; Jas 1:17</t>
    </r>
  </si>
  <si>
    <r>
      <t>True Witness</t>
    </r>
    <r>
      <rPr>
        <sz val="12"/>
        <rFont val="Tahoma"/>
        <family val="2"/>
      </rPr>
      <t xml:space="preserve">  Mat 28:7-15; Joh 3:31-33; 5:31-38; 8:14-18; Act 4:20; 22:15; 1Jo 1:3; Rev 3:14</t>
    </r>
  </si>
  <si>
    <r>
      <t>Spiritual Striving</t>
    </r>
    <r>
      <rPr>
        <sz val="12"/>
        <rFont val="Tahoma"/>
        <family val="2"/>
      </rPr>
      <t xml:space="preserve">  Lu 13:24; 1Co 9:24-27; Php 1:27; 3:14; Col 1:29; Heb 12:4
</t>
    </r>
  </si>
  <si>
    <r>
      <t>Convenient season</t>
    </r>
    <r>
      <rPr>
        <sz val="12"/>
        <rFont val="Tahoma"/>
        <family val="2"/>
      </rPr>
      <t xml:space="preserve">  Jos 18:3; 27:1; Jer 9:7,20; Luk 13:25; Ac 17:32, 33; 24:25; Jas 4:13-27</t>
    </r>
  </si>
  <si>
    <r>
      <t>Following Christ's example</t>
    </r>
    <r>
      <rPr>
        <sz val="12"/>
        <rFont val="Tahoma"/>
        <family val="2"/>
      </rPr>
      <t xml:space="preserve">  Joh 13:15; Php 2:5;  Col 3:13; Heb 12:2; 1Pe 2:21</t>
    </r>
  </si>
  <si>
    <r>
      <t>Heroes often overlooked</t>
    </r>
    <r>
      <rPr>
        <sz val="12"/>
        <rFont val="Tahoma"/>
        <family val="2"/>
      </rPr>
      <t xml:space="preserve">  Jdg 4:4-23; 1Ch 11:15-19; Luk 10:1; Joh 1:40-42; 6:8-9; 12:20-22; Act 23:16-22; Heb 11:35-40</t>
    </r>
  </si>
  <si>
    <r>
      <t>People called wise in the Bible</t>
    </r>
    <r>
      <rPr>
        <sz val="12"/>
        <rFont val="Tahoma"/>
        <family val="2"/>
      </rPr>
      <t xml:space="preserve">  Mat 2:1; 7:24; 24:45; 25:4; 1Co 1:19-27; 3:18-20; 2Ti 3:15</t>
    </r>
  </si>
  <si>
    <r>
      <t>People whom Christ touched</t>
    </r>
    <r>
      <rPr>
        <sz val="12"/>
        <rFont val="Tahoma"/>
        <family val="2"/>
      </rPr>
      <t xml:space="preserve">  Mar 8:2, 3; 8:15; 9:22, 29; 17:7; Mar 7:33-35; 10:13-16; Luk 22:51; Rev 1:17</t>
    </r>
  </si>
  <si>
    <r>
      <t>Things that make for peace</t>
    </r>
    <r>
      <rPr>
        <sz val="12"/>
        <rFont val="Tahoma"/>
        <family val="2"/>
      </rPr>
      <t xml:space="preserve">  Rom 5:1; 8:6; 14:17-19; Gal 5:22-23</t>
    </r>
  </si>
  <si>
    <r>
      <t>Tragedy of wasted opportunity</t>
    </r>
    <r>
      <rPr>
        <sz val="12"/>
        <rFont val="Tahoma"/>
        <family val="2"/>
      </rPr>
      <t xml:space="preserve">  Num 14:26-45; Mat 25:10, 24-30; Luk 19:41-44; Joh 3:19; 13:30</t>
    </r>
  </si>
  <si>
    <r>
      <t>Purpose of the cross</t>
    </r>
    <r>
      <rPr>
        <sz val="12"/>
        <rFont val="Tahoma"/>
        <family val="2"/>
      </rPr>
      <t xml:space="preserve">  Isa 53:4-5; Joh 12:24;  2Ti 1:10;  Tit 2:14; Heb 2:14-15; 1Jo 3:8</t>
    </r>
  </si>
  <si>
    <t xml:space="preserve">Wake up call ignored / </t>
  </si>
  <si>
    <r>
      <t>Life-changing events</t>
    </r>
    <r>
      <rPr>
        <sz val="12"/>
        <rFont val="Tahoma"/>
        <family val="2"/>
      </rPr>
      <t xml:space="preserve">  Gen 22:11-18; 1Sa 3:10; 1Ki 19:19; Isa 6:8; Luk 15:17; Joh 3:3; Ac 9:3-6</t>
    </r>
  </si>
  <si>
    <r>
      <t>Vessels</t>
    </r>
    <r>
      <rPr>
        <sz val="12"/>
        <rFont val="Tahoma"/>
        <family val="2"/>
      </rPr>
      <t xml:space="preserve">  Jer 18:4; 19:11; Act 9:15; Rom 9:21; 2Co 4:7; 2Ti 2:20-21</t>
    </r>
  </si>
  <si>
    <r>
      <t>God's gifts</t>
    </r>
    <r>
      <rPr>
        <sz val="12"/>
        <color theme="1"/>
        <rFont val="Tahoma"/>
        <family val="2"/>
      </rPr>
      <t xml:space="preserve">  Joh 3:27; Rom 6:23; 8:37; 1Co 15:57; 2Co 12:9; Php 4:13</t>
    </r>
  </si>
  <si>
    <r>
      <t>What God loves / hates</t>
    </r>
    <r>
      <rPr>
        <sz val="12"/>
        <color theme="1"/>
        <rFont val="Tahoma"/>
        <family val="2"/>
      </rPr>
      <t xml:space="preserve">  Ps 51:6,17; Pro 6:16-19; Amo 5:21; Mic 6:8; Mat 5:3-12; Luk 18:16,17; Joh 16:27; Jas 4:6</t>
    </r>
  </si>
  <si>
    <r>
      <t>What makes us invincible?</t>
    </r>
    <r>
      <rPr>
        <sz val="12"/>
        <rFont val="Tahoma"/>
        <family val="2"/>
      </rPr>
      <t xml:space="preserve">  Jud 7:19-22; 16:6; Pro 3:5-6; Joh 10:28,29; 2Co 12:9; 1Jo 4:4</t>
    </r>
  </si>
  <si>
    <t xml:space="preserve">Let God be the judge
</t>
  </si>
  <si>
    <r>
      <t>Beware of Counterfeits</t>
    </r>
    <r>
      <rPr>
        <sz val="12"/>
        <rFont val="Tahoma"/>
        <family val="2"/>
      </rPr>
      <t xml:space="preserve">  Mat 7:21-23; Rom 16:17-18; Col 2:8-10; 2Th 2:9-10; 2Ti 3:8-9; 1Jo 2:18-27; 4:1-6; 2Jo 1:10-11</t>
    </r>
  </si>
  <si>
    <r>
      <t>Ambition</t>
    </r>
    <r>
      <rPr>
        <sz val="12"/>
        <rFont val="Tahoma"/>
        <family val="2"/>
      </rPr>
      <t xml:space="preserve">  Ecc 2:22-23; Jer 45:5; Mat 6:32-33; 20:25-28; 1Co 12:31; 2Co 5:9; 2Ti 2:15</t>
    </r>
  </si>
  <si>
    <r>
      <t>Harmful worry - causes &amp; remedy</t>
    </r>
    <r>
      <rPr>
        <sz val="12"/>
        <rFont val="Tahoma"/>
        <family val="2"/>
      </rPr>
      <t xml:space="preserve">  Ps 127:1-2; Mat 6:27; 10:19-20; Luk 10:41-42; Joh 14:27; Php 4:6-7; 1Pe 5:7</t>
    </r>
  </si>
  <si>
    <r>
      <t>Pleasing God / man</t>
    </r>
    <r>
      <rPr>
        <sz val="12"/>
        <color theme="1"/>
        <rFont val="Tahoma"/>
        <family val="2"/>
      </rPr>
      <t xml:space="preserve">  Joh 12:42-43; Act 4:19; Gal 1:10; Eph 6:5-8; 1Th 2:3-4</t>
    </r>
  </si>
  <si>
    <r>
      <t>No price too great to pay</t>
    </r>
    <r>
      <rPr>
        <sz val="12"/>
        <rFont val="Tahoma"/>
        <family val="2"/>
      </rPr>
      <t xml:space="preserve">  Dan 3:16-18; Mat 10:28; Luk 9:23-26; Joh 12:24-26; Act 20:24; 1Ti 6:12</t>
    </r>
  </si>
  <si>
    <r>
      <t>How to win God’s favour</t>
    </r>
    <r>
      <rPr>
        <sz val="12"/>
        <rFont val="Tahoma"/>
        <family val="2"/>
      </rPr>
      <t xml:space="preserve">  Rom 14:17-18; 2Co 10:18; Eph 5:8-11; 2Ti 2:15; Heb 11:6, 13-16; Jas 1:12</t>
    </r>
  </si>
  <si>
    <t xml:space="preserve">Sin is costly / </t>
  </si>
  <si>
    <r>
      <t>Faithfulness Of Christ</t>
    </r>
    <r>
      <rPr>
        <sz val="12"/>
        <color theme="1"/>
        <rFont val="Tahoma"/>
        <family val="2"/>
      </rPr>
      <t xml:space="preserve">  1Th 5:24; 2Th 3:3; 2Ti 2:13; Heb 2:17; 10:23; Re 1:5; 19:11</t>
    </r>
  </si>
  <si>
    <t xml:space="preserve">God's wrath appeased / </t>
  </si>
  <si>
    <r>
      <t>Reasons for joy &amp; rejoicing</t>
    </r>
    <r>
      <rPr>
        <sz val="12"/>
        <rFont val="Tahoma"/>
        <family val="2"/>
      </rPr>
      <t xml:space="preserve">  Mat 5:11-12; 11:25; Luk 10:20; Joh 15:11-14; Rom 4:6-8; 12:15; Php 4:4; Rev 19:6-7</t>
    </r>
  </si>
  <si>
    <t xml:space="preserve">Hope of restoration / </t>
  </si>
  <si>
    <t>Being Committed (not merely involved)xxxxxxxf</t>
  </si>
  <si>
    <t>Who/What to Pray for - Wie/Waarvoor om te Bidxx</t>
  </si>
  <si>
    <t>Who/What to Pray for -- Wie/Waarvoor om te Bid..nlddddd</t>
  </si>
  <si>
    <t>Going from Strength to Strength \ Ukutwalilila mumaka nakulxxddddddd</t>
  </si>
  <si>
    <t>Accepting Disappointment Graciously \ Kuitikia uzini kwa/naxxxxxdddd</t>
  </si>
  <si>
    <t>Who/What to Pray for -- Wie/Waarvoor om te Bid…xxdddd</t>
  </si>
  <si>
    <t>1 Thessaloniciens</t>
  </si>
  <si>
    <t>2 Thessaloniciens</t>
  </si>
  <si>
    <t>Shona Only</t>
  </si>
  <si>
    <t>Who/What to Pray for -- Wie/Waarvoor om te Bid…xxlg</t>
  </si>
  <si>
    <t>Who/What to Pray for - Wie/Waarvoor om texxxx</t>
  </si>
  <si>
    <t>The Need for friendship and fellowship \ Zvakakoshera ukaxxx</t>
  </si>
  <si>
    <t>ShonaOnly</t>
  </si>
  <si>
    <t>2</t>
  </si>
  <si>
    <t>6</t>
  </si>
  <si>
    <t>11</t>
  </si>
  <si>
    <t>12</t>
  </si>
  <si>
    <t>13</t>
  </si>
  <si>
    <t>17</t>
  </si>
  <si>
    <t>18</t>
  </si>
  <si>
    <t>References</t>
  </si>
  <si>
    <t>BibleReadings1.sty needs to be in the same folder as the .xlsm files</t>
  </si>
  <si>
    <t>DbSharedFiles must be installed, in the same folder, or parent folder or grand-parent folder</t>
  </si>
  <si>
    <t>Fix Any errors that occurred on the xlsm due to cutting and pasting (one way is to copy everything onto the last working version)</t>
  </si>
  <si>
    <t>Om voor te berei om huis toe te gaanzzzxxxxxxxxxxxdddx</t>
  </si>
  <si>
    <t>Om voor te berei om huis toe te gaanzzzxxxxxxdddx</t>
  </si>
  <si>
    <t>Check for special characters and white space that cause problems on final pdf</t>
  </si>
  <si>
    <t>Adjust the column sizes for each language for optimum fit</t>
  </si>
  <si>
    <t>Check that all References, topics and book names are translated, if not fix the Word, or make sure the Word is the same on the Translation column and that it has a translation in the required language</t>
  </si>
  <si>
    <t>Who/What to Pray for - Wie/Waarvoor om texxxxslxx</t>
  </si>
  <si>
    <t>Who/What to Pray for -- Wie/Waarvoor om te Bid…xxlgggdxs</t>
  </si>
  <si>
    <t>Recovering Lost Territory \ Ukubuyiselwa izindawo/isabeloxxxxxxxxxxxxxdddd</t>
  </si>
  <si>
    <t>Hiding Place – Indawo yethu yokucasha…..,,,,,,,xxddd</t>
  </si>
  <si>
    <t>Who/What to Pray for -- Wie/Waarvoor om te………xxxxxxddj</t>
  </si>
  <si>
    <t>Who/What to Pray for -- Wie/Waarvoor om te Bid..,xldddffdxx</t>
  </si>
  <si>
    <t>Who/What to Pray for - Wie/Waarvoor om te Bid,,,,xx</t>
  </si>
  <si>
    <t>Going from Strength to Strength \ Ukutwalilila mumaka nakuldxddddssxxxxss</t>
  </si>
  <si>
    <t>Being Committed (not merely involved)xxxxxxxccccddd</t>
  </si>
  <si>
    <t>Being Committed (not merely involved)xxxxxxxffffddd</t>
  </si>
  <si>
    <t>Bothopo / kgoleho</t>
  </si>
  <si>
    <t>How to Be a Light - Kukuthini ukuba kukukhanya?xlxxxxddl</t>
  </si>
  <si>
    <t>Who/What to Pray for - Wie/Waarvoor om te Bixxsdd</t>
  </si>
  <si>
    <t>Yow</t>
  </si>
  <si>
    <t>Jow</t>
  </si>
  <si>
    <t>Who/What to Pray for -- Wie/Waarvoor om te Bid…xxdddnn</t>
  </si>
  <si>
    <t>Who/What to Pray for - Wie/Waarvoor om te Bxxxl</t>
  </si>
  <si>
    <t>Accepting Disappointment Graciously \ Kuitikia uzini kwa/naxxddddggmml</t>
  </si>
  <si>
    <t>Fullness of God's Provision \ Kuyazwa navile tunapatixxxxlnnnddnnmnmmn</t>
  </si>
  <si>
    <t>1 Nyakati</t>
  </si>
  <si>
    <t>2 Nyakati</t>
  </si>
  <si>
    <t>Who/What to Pray for -- Wie/Waarvoor omxxxxxxxxxxxhg</t>
  </si>
  <si>
    <t>Remembering God's undertaking \ Kumbuka – shughulxxxxxxxssslmmmn</t>
  </si>
  <si>
    <t>14</t>
  </si>
  <si>
    <t>15</t>
  </si>
  <si>
    <t>16</t>
  </si>
  <si>
    <t>19</t>
  </si>
  <si>
    <t>20</t>
  </si>
  <si>
    <t>1 &amp; 2</t>
  </si>
  <si>
    <t>7 &amp; 8</t>
  </si>
  <si>
    <t>7 - 8</t>
  </si>
  <si>
    <t>10 - 11</t>
  </si>
  <si>
    <t>20 &amp; 21</t>
  </si>
  <si>
    <t>33</t>
  </si>
  <si>
    <t>34</t>
  </si>
  <si>
    <t>35</t>
  </si>
  <si>
    <t>36</t>
  </si>
  <si>
    <t>37</t>
  </si>
  <si>
    <t>38 - 39</t>
  </si>
  <si>
    <t>47</t>
  </si>
  <si>
    <t>23</t>
  </si>
  <si>
    <t>Effect of prosperity &amp; adversity</t>
  </si>
  <si>
    <t>Daily struggles</t>
  </si>
  <si>
    <t>Abundant Life</t>
  </si>
  <si>
    <t>The kind of heart we need</t>
  </si>
  <si>
    <t>Deu 5:29; 1Sa 12:24; Pro 3:5-6; 23:26; Jer 24:7; 29:13; Eze 11:19-20; Joe 2:12-13; Luk 10:27</t>
  </si>
  <si>
    <t>Having a listening ear</t>
  </si>
  <si>
    <t>Significant place names</t>
  </si>
  <si>
    <t>Importance of perspective</t>
  </si>
  <si>
    <t>Timely service</t>
  </si>
  <si>
    <t>Weapons of our warfare</t>
  </si>
  <si>
    <t>Composure of God's people</t>
  </si>
  <si>
    <t>Spesiale voorregte wat ons geniet</t>
  </si>
  <si>
    <t>Daaglikse stryd</t>
  </si>
  <si>
    <t>Oorvloedige Lewe</t>
  </si>
  <si>
    <t>Beduidende plekname</t>
  </si>
  <si>
    <t>Belangrikheid van perspektief</t>
  </si>
  <si>
    <t>Om 'n luisterende oor te hê</t>
  </si>
  <si>
    <t>Trusting God for a new beginning</t>
  </si>
  <si>
    <t>God’s chastening hand removed</t>
  </si>
  <si>
    <t>Never let your courage falter</t>
  </si>
  <si>
    <t>Downward spiral of compromise</t>
  </si>
  <si>
    <t>Ray of hope in the darkness</t>
  </si>
  <si>
    <t>Jesus' responses</t>
  </si>
  <si>
    <t>Unity is strength</t>
  </si>
  <si>
    <t>Majesty of God and depravity of man</t>
  </si>
  <si>
    <t>Eenheid is krag</t>
  </si>
  <si>
    <t>Examining one's own priorities</t>
  </si>
  <si>
    <t>25</t>
  </si>
  <si>
    <t>26</t>
  </si>
  <si>
    <t>27 - 28</t>
  </si>
  <si>
    <t>29 - 30</t>
  </si>
  <si>
    <t>31 - 32</t>
  </si>
  <si>
    <t>My way is wrong, God's way is right</t>
  </si>
  <si>
    <t>Gods weg is reg, ek is verkeerd</t>
  </si>
  <si>
    <t>Greater blessing, fiercer attack</t>
  </si>
  <si>
    <t>God's hand providing &amp; protecting</t>
  </si>
  <si>
    <t>No time lost in waiting on God</t>
  </si>
  <si>
    <t>Ligstraaltjie in die duisternis</t>
  </si>
  <si>
    <t>Jesus se reaksies</t>
  </si>
  <si>
    <t>Walls of separation crumbling</t>
  </si>
  <si>
    <t>The glory of the Lord</t>
  </si>
  <si>
    <t>Die heerlikheid van die Here</t>
  </si>
  <si>
    <t>Setting one's face to do God's will</t>
  </si>
  <si>
    <t>Great Shepherd cares for the sheep</t>
  </si>
  <si>
    <t>Ware Herder sorg vir die skape</t>
  </si>
  <si>
    <t>People the Lord loves to guide</t>
  </si>
  <si>
    <t>All needs met in our Shepherd</t>
  </si>
  <si>
    <t>Alle behoeftes in ons Herder vervul</t>
  </si>
  <si>
    <t>God still resists the proud</t>
  </si>
  <si>
    <t>God weerstaan steeds die hoogmoedige</t>
  </si>
  <si>
    <t>French</t>
  </si>
  <si>
    <t>Nehemiah</t>
  </si>
  <si>
    <t>Also Shona Only A4</t>
  </si>
  <si>
    <t xml:space="preserve">Remember to make </t>
  </si>
  <si>
    <t>English Only and A4 Afr Eng</t>
  </si>
  <si>
    <t>Redeeming Time</t>
  </si>
  <si>
    <t>Hiding Places</t>
  </si>
  <si>
    <t>Skuilplekke</t>
  </si>
  <si>
    <t>Tyd uitkoop</t>
  </si>
  <si>
    <t>Wapens van ons strydperk</t>
  </si>
  <si>
    <t>Gaining God's approval</t>
  </si>
  <si>
    <t>Gevolge van voor- en teëspoed</t>
  </si>
  <si>
    <t>Vertroue op God tot 'n nuwe begin</t>
  </si>
  <si>
    <t>Behandel eers die oorsaak, dan die simptome</t>
  </si>
  <si>
    <t>Handling malicious slander</t>
  </si>
  <si>
    <t>Hantering van kwaadpratery</t>
  </si>
  <si>
    <t>Geen tyd verkwisting om op God te wag</t>
  </si>
  <si>
    <t>Take note of God's blessings</t>
  </si>
  <si>
    <t>Neem die Here se seëninge in ag</t>
  </si>
  <si>
    <t>Kugadzikana kwevanhu vaMwari</t>
  </si>
  <si>
    <t>Kuva nenzeve inoteerera</t>
  </si>
  <si>
    <t>Ruoko rwaMwari runoranga rwabviswa</t>
  </si>
  <si>
    <t>Ruoko rwaMwari runopa nekudzivirira</t>
  </si>
  <si>
    <t>Mufudzi Mukuru anodzoka mukubwinya</t>
  </si>
  <si>
    <t>Izimpendulo zikaJesu</t>
  </si>
  <si>
    <t>Izindawo zokucasha</t>
  </si>
  <si>
    <t>Uhlobo lwenhliziyo esiyidingayo</t>
  </si>
  <si>
    <t>Amagama ezindawo ezibalulekile</t>
  </si>
  <si>
    <t>Ukuba nendlebe elalelayo</t>
  </si>
  <si>
    <t>Ukuzinikela okukhulu kubangela ukuphikiswa okukhulu</t>
  </si>
  <si>
    <t>Ubukhosi bukaNkulunkulu kanye nokonakala komuntu</t>
  </si>
  <si>
    <t>Izindonga zokuhlukana ziyabhidlika</t>
  </si>
  <si>
    <t>UMelusi Omuhle ufela izimvu</t>
  </si>
  <si>
    <t>UMalusi Omkhulu unakekela izimvu</t>
  </si>
  <si>
    <t>UMelusi Omkhulu ubuya ngenkazimulo</t>
  </si>
  <si>
    <t>UNkulunkulu usamelana nabazidlayo</t>
  </si>
  <si>
    <t>Amandla aphilisayo eZwi noMoya kaNkulunkulu</t>
  </si>
  <si>
    <t>Ukuphila okuchichimayo</t>
  </si>
  <si>
    <t>Indlela yam ayilunganga, indlela kaThixo ilungile</t>
  </si>
  <si>
    <t>Sebenzisa lonke ithuba</t>
  </si>
  <si>
    <t>Ukubaluleka kothando</t>
  </si>
  <si>
    <t>Isandla sikaNkulunkulu esijezisayo sisusiwe</t>
  </si>
  <si>
    <t>Isibusiso esikhulu, ukuhlaselwa okunamandla</t>
  </si>
  <si>
    <t>Ukuyekethisa kusuka kokubi kuye kokubi kakhulu</t>
  </si>
  <si>
    <t>Okokuqala yelapha imbangela, bese kuba izimpawu</t>
  </si>
  <si>
    <t>Ukuzimisela ukwenza intando kaNkulunkulu</t>
  </si>
  <si>
    <t>Zonke izidingo zasuthiswa kuMalusi wethu</t>
  </si>
  <si>
    <t>Indlela yami imbi, indlela kaNkulunkulu ilungile</t>
  </si>
  <si>
    <t xml:space="preserve">                                                                                                                                 </t>
  </si>
  <si>
    <t>Pre-eminence of Love</t>
  </si>
  <si>
    <t>Special privileges we enjoy</t>
  </si>
  <si>
    <t>Beauty of simplicity</t>
  </si>
  <si>
    <t>Highest calling</t>
  </si>
  <si>
    <t>Every enemy defeated; every sin forgiven</t>
  </si>
  <si>
    <t>Life-giving power of the Word and Spirit</t>
  </si>
  <si>
    <t>Love for God expressed in obedience</t>
  </si>
  <si>
    <t>Truth brings conviction &amp; healing</t>
  </si>
  <si>
    <t>Beware of the friendly enemy</t>
  </si>
  <si>
    <t>Fruitfulness by delighting in God's will</t>
  </si>
  <si>
    <t>A sanctified people glorfying God</t>
  </si>
  <si>
    <t xml:space="preserve">First treat the cause, not the symptoms </t>
  </si>
  <si>
    <t xml:space="preserve">Greater dedication; greater opposition </t>
  </si>
  <si>
    <t>From desolation to delight</t>
  </si>
  <si>
    <t>God is greater than circumstances &amp; foes</t>
  </si>
  <si>
    <t>Water of Life flows progressively deeper</t>
  </si>
  <si>
    <t>Answered prayer gives a new song</t>
  </si>
  <si>
    <t>Stability in unsettling times</t>
  </si>
  <si>
    <t>Die Here se weë onnaspeurlik</t>
  </si>
  <si>
    <t>Verlossingsvreugde</t>
  </si>
  <si>
    <t>Standvastigheid in onstuimige tye</t>
  </si>
  <si>
    <t>Die Here se goedkeuring verwerf</t>
  </si>
  <si>
    <t>Voorrang van die liefde</t>
  </si>
  <si>
    <t>Die soort hart wat ons benodig</t>
  </si>
  <si>
    <t>Diens op tyd gelewer</t>
  </si>
  <si>
    <t>Gemoedsrus van Godsvolk</t>
  </si>
  <si>
    <t>Hoogste roeping</t>
  </si>
  <si>
    <t>Die Here se tugtigende hand afgewend</t>
  </si>
  <si>
    <t>Groter seën, feller aanslag</t>
  </si>
  <si>
    <t>Laat jou moed nooit wankel</t>
  </si>
  <si>
    <t>Gods hand voorsien en bewaar</t>
  </si>
  <si>
    <t xml:space="preserve">Afwaartse neiging van kompromie </t>
  </si>
  <si>
    <t>Verbrokkeling  van skeidsmure</t>
  </si>
  <si>
    <t xml:space="preserve">Waarheid bring oortuiging en genesing </t>
  </si>
  <si>
    <t>Be watchful even after victory</t>
  </si>
  <si>
    <t>Wees waaksaam selfs na oorwinning</t>
  </si>
  <si>
    <t>Mense wat die Here in liefde voortlei</t>
  </si>
  <si>
    <t>Liefde tot God uitgeleef in gehoorsaamheid</t>
  </si>
  <si>
    <t>Van verlatenheid tot verlustiging</t>
  </si>
  <si>
    <t>Lewegewende krag van die Woord en Gees</t>
  </si>
  <si>
    <t>Elke vyand verslaan;  elke sonde vergewe</t>
  </si>
  <si>
    <t>Lewende Water vloei hoe verder hoe dieper</t>
  </si>
  <si>
    <t>God is groter as omstandighede en vyande</t>
  </si>
  <si>
    <t>Nuwe lied volg op beantwoorde gebed</t>
  </si>
  <si>
    <t>Being Committed (not merely involved)xxxxxxxxxxxxxxxxxxxxxssqqqqqq</t>
  </si>
  <si>
    <t>Christ's self-sacrificing love</t>
  </si>
  <si>
    <t>Christus se neerbuigende liefde</t>
  </si>
  <si>
    <t>Wees versigtig vir die vriendelike vyand</t>
  </si>
  <si>
    <t>God's ways past finding out</t>
  </si>
  <si>
    <t>The enemy within is the biggest danger</t>
  </si>
  <si>
    <t>Groter toewyding; groter teëkanting</t>
  </si>
  <si>
    <t>Die vyand van binne is die grootste gevaar</t>
  </si>
  <si>
    <t>Majesteit van die Here en menslike verdorwenheid</t>
  </si>
  <si>
    <t>Vrugbaarheid deur blymoedig die Here se wil te doen</t>
  </si>
  <si>
    <t>Our disappointment, often God's appointment</t>
  </si>
  <si>
    <t>Joy of Salvation</t>
  </si>
  <si>
    <t>Good Shepherd dies for his sheep</t>
  </si>
  <si>
    <t>Goeie Herder sterf vir sy skape</t>
  </si>
  <si>
    <t>Aangesig gerig tot die Here se wil</t>
  </si>
  <si>
    <t>Chief Shepherd comes in glory</t>
  </si>
  <si>
    <t>Opperherder kom in heerlikheid</t>
  </si>
  <si>
    <t>Mufaro weRuponeso</t>
  </si>
  <si>
    <t>Rudo rwaKristu rwokuzvipira</t>
  </si>
  <si>
    <t>Upenyu hwakawanda</t>
  </si>
  <si>
    <t xml:space="preserve">Kukosha kwemaonero </t>
  </si>
  <si>
    <t>Kushumira panguva yakafanira</t>
  </si>
  <si>
    <t>Tariro iripo kunyangwe murima</t>
  </si>
  <si>
    <t>Ngwarira muvengi ane ushamwari</t>
  </si>
  <si>
    <t>Zvose zvinodikanwa zvinowanika muMufudzi wedu</t>
  </si>
  <si>
    <t>Kubva pakuparara kusvika pakufarisisa</t>
  </si>
  <si>
    <t>Mvura yeHupenyu inoyerera ichidzika nokudzika</t>
  </si>
  <si>
    <t>Uthando lukaJesu lokuzinikela</t>
  </si>
  <si>
    <t>Ubuhle bobulula enkolweni</t>
  </si>
  <si>
    <t>Nzira dzaMwari hadzizikanwi</t>
  </si>
  <si>
    <t>Zvinhano zvinokosha zvatinowana</t>
  </si>
  <si>
    <t>Kugadzikana munguva dzekusagadzikana</t>
  </si>
  <si>
    <t>Kurwa kwezuva nezuva</t>
  </si>
  <si>
    <t>Runako rwezvirinyore</t>
  </si>
  <si>
    <t>Mazita enzvimbo dzakakosha kwatiri</t>
  </si>
  <si>
    <t>Usaora moyo</t>
  </si>
  <si>
    <t>Kuderera kunouya mukuwirirana panezvakaipa</t>
  </si>
  <si>
    <t>Hapana kutambisa nguva pakumirira Mwari</t>
  </si>
  <si>
    <t xml:space="preserve">Kuzvipira kukuru; kushorwa kukuru </t>
  </si>
  <si>
    <t>Gadzirisa chikonzero kutanga, kwete zvinetso</t>
  </si>
  <si>
    <t>Masvingo ekuparadzanisa ari kukoromoka</t>
  </si>
  <si>
    <t>Kuongorora zvandinokoshesa</t>
  </si>
  <si>
    <t>Cherekedza ropafadzo dzaMwari</t>
  </si>
  <si>
    <t>Kurinzira chiso kuita kuda kwaMwari</t>
  </si>
  <si>
    <t>Rinda kunyangwe wakunda</t>
  </si>
  <si>
    <t>Mufudzi akanaka anofira makwai</t>
  </si>
  <si>
    <t>Mwari achiri kuramba vanozvikudza</t>
  </si>
  <si>
    <t>Muvengi wese akakundwa; zvivi zvose zvakaregererwa</t>
  </si>
  <si>
    <t>Mwari mukuru kune zvinotiwira nevavengi</t>
  </si>
  <si>
    <t>Munyengetero wakapindurwa unopa rwiyo rutsva</t>
  </si>
  <si>
    <t>Nzira yangu yakaipa, nzira yaMwari yakarurama</t>
  </si>
  <si>
    <t>The Need for friendship and fellowship \ Zvakakoshera ukaxxxxxddggggg</t>
  </si>
  <si>
    <t>Visit of the Queen of Sheba \ Kushanya kwaMamb</t>
  </si>
  <si>
    <t>Inshila shakwa Lesa shacipesha amano</t>
  </si>
  <si>
    <t>Inseko shepusukilo</t>
  </si>
  <si>
    <t>Inshita shisuma isho tulepokelela</t>
  </si>
  <si>
    <t xml:space="preserve">Ifimfulunganya fisuma </t>
  </si>
  <si>
    <t>Ifyasuko fyakwa Yesu</t>
  </si>
  <si>
    <t>Ukutemwa kwakwa Kristu ukwacine  mukuipela</t>
  </si>
  <si>
    <t>Ukuba abaiminina ndi  munshita shashupa</t>
  </si>
  <si>
    <t>Amafya yacilabushiku</t>
  </si>
  <si>
    <t xml:space="preserve">Umweo uwingi </t>
  </si>
  <si>
    <t>Ukuyemba kwafintu ifi ifyayanguka</t>
  </si>
  <si>
    <t>Incende shakufisamamo</t>
  </si>
  <si>
    <t xml:space="preserve">Ukukwato busuminisho bwakwa Lesa </t>
  </si>
  <si>
    <t>Ukutemwa eko kutungulule mulifyonse</t>
  </si>
  <si>
    <t>Umusango wamutima twakwata</t>
  </si>
  <si>
    <t xml:space="preserve">Amashina yancende ishikankala </t>
  </si>
  <si>
    <t>Ubucindami bwamimwene yesu</t>
  </si>
  <si>
    <t xml:space="preserve">Ukubomba bwino munshita iyalinga </t>
  </si>
  <si>
    <t xml:space="preserve">Ukwiminina ndi kwabantu bakwa Lesa </t>
  </si>
  <si>
    <t xml:space="preserve">Ifyanso fyesu ifyabulwi </t>
  </si>
  <si>
    <t>Ukuba nokutwi ukuleumfwa</t>
  </si>
  <si>
    <t>Ubwite ubukalamba</t>
  </si>
  <si>
    <t xml:space="preserve">Ukubomfya Inshita bwino </t>
  </si>
  <si>
    <t>Ipalo ilikalamba, Ukusanswa ukubi</t>
  </si>
  <si>
    <t>Twileka ukushipa kwesu kucepe</t>
  </si>
  <si>
    <t>Ukuboko kwakwa Lesa  kulapela elyo nokutungulula</t>
  </si>
  <si>
    <t>Ukubipilakofye kwafintu</t>
  </si>
  <si>
    <t>Ukuba nesubilo munshita yamfifi</t>
  </si>
  <si>
    <t xml:space="preserve">Tapalinshita ileonaika Mukulolela kuli Lesa </t>
  </si>
  <si>
    <t>Ukwikatana emaka</t>
  </si>
  <si>
    <t xml:space="preserve">Ukuipela ukukalamba; namatunko ayengi </t>
  </si>
  <si>
    <t xml:space="preserve">Umulwani pakati kaifwe ebusanso bukalamba </t>
  </si>
  <si>
    <t>Tucenjele nomulwani uwingaba ngacibusa wacine</t>
  </si>
  <si>
    <t>Ukubala ukuposha ubwafya, tefiletumbuka mufwafya</t>
  </si>
  <si>
    <t xml:space="preserve">Abantu bamushilo balaleta ubukata kuli Lesa </t>
  </si>
  <si>
    <t>Ifibumba fyakupatulula fyawishiwa</t>
  </si>
  <si>
    <t>Mulimo wacilamuntu ukuilengulula</t>
  </si>
  <si>
    <t xml:space="preserve">Ubukata bwakwa Shikulu </t>
  </si>
  <si>
    <t xml:space="preserve">Ukwafwa bambi ukucita ubufwayo bwakwa Lesa </t>
  </si>
  <si>
    <t xml:space="preserve">Icine cilasokolola fyonse  elyo nokuposhiwa </t>
  </si>
  <si>
    <t>Ukuba nomutunganya</t>
  </si>
  <si>
    <t>Ukumutemwa Lesa kwamonekela mukubela</t>
  </si>
  <si>
    <t xml:space="preserve">Lesa alasula abafilumba </t>
  </si>
  <si>
    <t xml:space="preserve">Ukufuma mubulanda ukuya munsansa </t>
  </si>
  <si>
    <t xml:space="preserve">Amaka yeshiwi ayapelo mweo  elyo noMupashi </t>
  </si>
  <si>
    <t>Umulwani onse acimfiwa; Nolubembu lonse lwaelelwa</t>
  </si>
  <si>
    <t xml:space="preserve">Amenshi yamweo ayashika ayapita lyonse </t>
  </si>
  <si>
    <t>Ipepo lyayasukwa  lilapela ulwimbo lupya</t>
  </si>
  <si>
    <t>Izikhali zethu zempi</t>
  </si>
  <si>
    <t>Ubizo oluphakeme</t>
  </si>
  <si>
    <t>UkuMethemba uNkulunkulu ngokuqala kokusha</t>
  </si>
  <si>
    <t>Ungaphelelwa yisibindi</t>
  </si>
  <si>
    <t>Isandla sikaNkulunkulu esibonelelayo nesivikelayo</t>
  </si>
  <si>
    <t>Ithemba elincane ebumnyameni</t>
  </si>
  <si>
    <t>Ukulinda uNkulunkulu asichithi isikhathi</t>
  </si>
  <si>
    <t>Ubunye bungamandla</t>
  </si>
  <si>
    <t>Isitha esingaphakathi kuyingozi enkulu</t>
  </si>
  <si>
    <t>Qaphela isitha esingumngani</t>
  </si>
  <si>
    <t>Abantu beNkosi abangcwelisiwe bayamdumisa</t>
  </si>
  <si>
    <t>Nakani izibusiso zikaNkulunkulu</t>
  </si>
  <si>
    <t>Inkazimulo kaNkulunkulu</t>
  </si>
  <si>
    <t xml:space="preserve">Amacushi yesu yonse,   butantiko bwakwa Lesa </t>
  </si>
  <si>
    <t>Ukucetekela Lesa muliconse cipya icatampa</t>
  </si>
  <si>
    <t>kuboko kutwafwa  ukwakwa Lesa  kwafumishiwapo</t>
  </si>
  <si>
    <t xml:space="preserve">Ukuba nefisabo kwikala mubufwayo bwakwa Lesa </t>
  </si>
  <si>
    <t>Ubukulu bwakwa Lesa  nokulubantika kwamuntunse</t>
  </si>
  <si>
    <t xml:space="preserve">Ukubikako amano kumapalo yakwa Lesa </t>
  </si>
  <si>
    <t>Tulole lyonse napanuma yakucimfya kwesu</t>
  </si>
  <si>
    <t>Kacema musuma afwile pampanga shakwe</t>
  </si>
  <si>
    <t xml:space="preserve">Kacema Mukalamba asakamane mpanga shakwe </t>
  </si>
  <si>
    <t>Kacema Mukalamba akabwela mubukata bwakwe</t>
  </si>
  <si>
    <t xml:space="preserve">Abantu  Shikulu atemwa  ukutunglula </t>
  </si>
  <si>
    <t>Fyonse fyo tukabila fili muli Kacema wesu</t>
  </si>
  <si>
    <t>Lesa Mukulu ukucila amafya  elyo nefituponena</t>
  </si>
  <si>
    <t>Inshila yandi yalibipa, Lelo  iyakwa Lesa intu yalungama</t>
  </si>
  <si>
    <t>No way of escape</t>
  </si>
  <si>
    <t>Convincing Examples</t>
  </si>
  <si>
    <t>Mhedzisiro yebudiriro neyematambudziko</t>
  </si>
  <si>
    <t>Geen uitweg te vinde</t>
  </si>
  <si>
    <t>Hapana nzira yekupukunyuka nayo</t>
  </si>
  <si>
    <t>Oortuigende Voorbeelde</t>
  </si>
  <si>
    <t>Mienzaniso inotibatsira pamufambire wedu</t>
  </si>
  <si>
    <t>Mhinduro dzaShe Jesu</t>
  </si>
  <si>
    <t>Nzvimbo dzoruvando</t>
  </si>
  <si>
    <t>Kugamuchirwa naMwari</t>
  </si>
  <si>
    <t>Rudo rwakakosha</t>
  </si>
  <si>
    <t>Mhando yemoyo watinoda kuva nawo</t>
  </si>
  <si>
    <t>Zvombo zvedu zvehondo</t>
  </si>
  <si>
    <t>Kudanwa kukuru</t>
  </si>
  <si>
    <t>Zvinorwadza mwoyo, kazhinji marongero aMwari</t>
  </si>
  <si>
    <t>Kungwarira nguva nemikana</t>
  </si>
  <si>
    <t>Kuvimba naMwari mumavambo matsva</t>
  </si>
  <si>
    <t>Pane ropafadzo huru, kurwiswa kukuru</t>
  </si>
  <si>
    <t>Simba mukubatana</t>
  </si>
  <si>
    <t>Njodzi huru, muvengi ari mukati</t>
  </si>
  <si>
    <t>Zvibereko mukufadzwa nekuda kwaMwari</t>
  </si>
  <si>
    <t>Hukuru hwaMwari nehuipi hwemunhu</t>
  </si>
  <si>
    <t>Vanhu vakacheneswa vanokudza Mwari</t>
  </si>
  <si>
    <t>Kubwinya kwaMwari</t>
  </si>
  <si>
    <t>Chokwadi chinounza kutenda nokuporeswa</t>
  </si>
  <si>
    <t>Mufudzi Mukuru anoriritira makwai</t>
  </si>
  <si>
    <t>Vanhu vanodikanwa kutungamirirwa naShe</t>
  </si>
  <si>
    <t>Tinogadzirisa sei kucherana kwenhema</t>
  </si>
  <si>
    <t>Kuda Mwari kunoratidzwa mukuteerera</t>
  </si>
  <si>
    <t>Shoko neMweya zvinopa simba roupenyu</t>
  </si>
  <si>
    <t>Ukuzithiba  kwabantu bakaNkulunkulu</t>
  </si>
  <si>
    <t xml:space="preserve">Ubwafya bwakunonka ifyuma  elyo Nenshita shashupa </t>
  </si>
  <si>
    <t>Kungasekho indlela yokuphunyuka</t>
  </si>
  <si>
    <t>Ukuzuza ukuvunywa nguNkulunkulu</t>
  </si>
  <si>
    <t>Ukusuka encithakalweni kuya enjabulweni</t>
  </si>
  <si>
    <t>Zonke izitha zihlulwe, zonke izono zithethelelwe</t>
  </si>
  <si>
    <t>Amanzi okuphila ageleza ngokujula njalo</t>
  </si>
  <si>
    <t>INkosi ibusa kuzo zonke izehlakalo nezitha zethu</t>
  </si>
  <si>
    <t>Senze njani uma abanye besihleba ngenzondo</t>
  </si>
  <si>
    <t>Iqiniso liletha ukuqiniseka nokwelapha</t>
  </si>
  <si>
    <t>Ukudumazeka kwethu kungaba nguhlelo lweNkosi</t>
  </si>
  <si>
    <t>Nquma ukuthi yini ebaluleke kakhulu empilweni</t>
  </si>
  <si>
    <t>Lively stones in His House \ Singamatshe aphilileyo endlixlnxxxxdddd</t>
  </si>
  <si>
    <t>Ukuba ngusizo ngesikhathi esifanele</t>
  </si>
  <si>
    <t>Ons teleurstelling, soms die Here se bestelling</t>
  </si>
  <si>
    <t>Geheiligde volk wat die Here vereer</t>
  </si>
  <si>
    <t>Voorkeure in oënskou neem</t>
  </si>
  <si>
    <t>1Sa 2:1-9; Ps 16:11; Mat 5:11,12; Joh 16:33; Act 5:41,42; 1Pe 1:6-9</t>
  </si>
  <si>
    <t>Isiphumo sempumelelo  nobunzima</t>
  </si>
  <si>
    <t>Azilandeki iindlela zika Thixo</t>
  </si>
  <si>
    <t xml:space="preserve">Uvuyo losindiso </t>
  </si>
  <si>
    <t>Akukho ndlela yokubaleka</t>
  </si>
  <si>
    <t xml:space="preserve">Amathuba amahle esiwavuyelayo </t>
  </si>
  <si>
    <t xml:space="preserve">Imizekelo eqinisekisayo </t>
  </si>
  <si>
    <t>Impendulo kaYesu</t>
  </si>
  <si>
    <t>Uthando luka Kristu lokuzincama</t>
  </si>
  <si>
    <t>Uzinzo kumaxesha anzima</t>
  </si>
  <si>
    <t>Imizabalazo yemihla ngemihla</t>
  </si>
  <si>
    <t>Ubomi obugqithiseleyo</t>
  </si>
  <si>
    <t>Ubuhle bokulula</t>
  </si>
  <si>
    <t>Iindawo zokuzimela</t>
  </si>
  <si>
    <t>Ukufumana inkoliseko kaThixo</t>
  </si>
  <si>
    <t>Ubungangamsha bothando</t>
  </si>
  <si>
    <t>Uhlobo lwentliziyo esiyifunayo</t>
  </si>
  <si>
    <t>Amagama endawo ebalulekileyo</t>
  </si>
  <si>
    <t>Ukubaluleka kwembono</t>
  </si>
  <si>
    <t>Inkonzo yengexesha</t>
  </si>
  <si>
    <t>Ukuzola kwabantu bakaThixo</t>
  </si>
  <si>
    <t>Izixhobo zethu zemfazwe</t>
  </si>
  <si>
    <t>Ukuba nendlebe emamelayo</t>
  </si>
  <si>
    <t>Ubizo lwaphezulu</t>
  </si>
  <si>
    <t xml:space="preserve">Ukuphoxeka kwethu, </t>
  </si>
  <si>
    <t>Ukonga ixesha</t>
  </si>
  <si>
    <t xml:space="preserve">Ukethemba uThixo ngoku qala okutsha </t>
  </si>
  <si>
    <t>Isandla sikaThixo esiqeqeshayo sisusiwe</t>
  </si>
  <si>
    <t>Iintsikelelo ezinkulu, uhlaselo oluqatha</t>
  </si>
  <si>
    <t xml:space="preserve">Isandla sikaThixo siyabonelela &amp; siyakhusela </t>
  </si>
  <si>
    <t>Ukwehla kwezivumelwano</t>
  </si>
  <si>
    <t>Ithemba elincinane ebumnyameni</t>
  </si>
  <si>
    <t>Umthandazo uguqula izinto njengoba uguqula nam</t>
  </si>
  <si>
    <t>Asichithi xesha xa silinda kuThixo</t>
  </si>
  <si>
    <t>Umanyano ngamandla</t>
  </si>
  <si>
    <t xml:space="preserve">Ukuzinikela okukhulu, incaso enkulu </t>
  </si>
  <si>
    <t xml:space="preserve">Utshaba olungaphakathi luyingozi kakhulu </t>
  </si>
  <si>
    <t>Lumkela utshaba olunobuhlobo</t>
  </si>
  <si>
    <t>Ukuba nesiqhamo sovuyo entandweni kaThixo</t>
  </si>
  <si>
    <t>Ubungangamsha bukaThixo nokonakala komntu</t>
  </si>
  <si>
    <t>Qala unyange unobangela hayi iimpawu</t>
  </si>
  <si>
    <t xml:space="preserve">Abantu abangcwele baya mzukisa uThixo </t>
  </si>
  <si>
    <t>Iindonga zokwahlukana zidilikile</t>
  </si>
  <si>
    <t xml:space="preserve">Ukucikida izinto zam ezibalulekileyo </t>
  </si>
  <si>
    <t>Ziphawule iintsikelelo zika Thixo</t>
  </si>
  <si>
    <t>Uzuko lweNkosi</t>
  </si>
  <si>
    <t>Ukuzimisela ukwenza intando kaThixo</t>
  </si>
  <si>
    <t>Inyaniso izisa ukukholelwa nokuphilisa</t>
  </si>
  <si>
    <t xml:space="preserve">Phaphama nasemva koloyiso </t>
  </si>
  <si>
    <t>Umalusi olungileyo ufela izimvu zakhe</t>
  </si>
  <si>
    <t xml:space="preserve">Umalusi omhle uyazikhathalela izimvu </t>
  </si>
  <si>
    <t>Umalusi omkhulu uza ngozuko</t>
  </si>
  <si>
    <t xml:space="preserve">Abantu iNkosi ethanda ukubakhokhela </t>
  </si>
  <si>
    <t>Ukubhekana noku nyeliswa</t>
  </si>
  <si>
    <t>Uthando lukaThixo lubonakaliswe ngokuthobeka</t>
  </si>
  <si>
    <t xml:space="preserve">Zonke iimfuno zifumaneka kuMalusi wethu </t>
  </si>
  <si>
    <t xml:space="preserve">UThixo uyalichasa ikratshi </t>
  </si>
  <si>
    <t>Ukusuka ekuchithweni ukuya ekuvuyeni</t>
  </si>
  <si>
    <t>Amandla aphilisayo eZwi no Moya oyiNgcwele</t>
  </si>
  <si>
    <t>Zonke iintshaba zoyisiwe; nezono zixolelwe</t>
  </si>
  <si>
    <t xml:space="preserve">Amanzi obomi ampompoza kakhulu ebunzulwini </t>
  </si>
  <si>
    <t>uThixo mkhulu kunemeko neentshaba</t>
  </si>
  <si>
    <t xml:space="preserve">Umthandazo ophendulweyo uzisa iculo elitsha </t>
  </si>
  <si>
    <t>The kind of heart we need \ Uhlobo lwentliziyo esiyifunayoxxxssssdddss</t>
  </si>
  <si>
    <t>God is greater than our enemies \ UThixo mkhulu kunexxrrnnnsssqqqxx</t>
  </si>
  <si>
    <t>Ukubaluleka kwendlela esibona ngayo</t>
  </si>
  <si>
    <t>Sithela izithelo lapho sizithokozisa ngentando yeNkosi</t>
  </si>
  <si>
    <t>Prayer changes things, if it first changes me</t>
  </si>
  <si>
    <t>Gebed verander dinge, wanneer dit my verander het</t>
  </si>
  <si>
    <t>Umthandazo uma ungiguqula kuqala, izimo zizoguquka nazo</t>
  </si>
  <si>
    <t>Ipepo lilapilibula ifintu, nga elyatala lyampilibula</t>
  </si>
  <si>
    <t>Munyengetero unoshandura zvinhu kana washandura ini kutanga</t>
  </si>
  <si>
    <t>Tapali nshila yakubutukilamo</t>
  </si>
  <si>
    <t xml:space="preserve">2Ki 4:9,10; 6:15-17; Isa 6:1-8; Mat 1:19,20; 9:11-13; 13:11; 14:16; 19:13,14; 2Co 4:16-18
</t>
  </si>
  <si>
    <t>Luk 19:10; 22:27; Joh 3:13-16; 6:51-58; 13:1-5; 15:13; 17:6-10; Php 2:5-8; Heb 2:9-10</t>
  </si>
  <si>
    <t>1Ki 19:19-21; Isa 6:8; Jer 1:4-10; Mar 6:7; Rom 1:1,7; 1Co 1:26-30; Rev 17:14</t>
  </si>
  <si>
    <t>Gen 3:8; Ps 27:5; 31:20,21; 139:11,12; Pro 30:26; Isa 25:4; Jer 23:24; Luk 12:2,3; Rev 6:14-17</t>
  </si>
  <si>
    <t>Gen 22:3,10-13; 1Ki 19:11-13; Isa 50:4,5; Mat 13:9, 15-17; Mar 4:24; Luk 8:18</t>
  </si>
  <si>
    <t>Deu 8:11-20; Job 1:1-3,14-22; Pro 30:8,9; Ecc 2:18-23; 9:11; Luk 12:16-21</t>
  </si>
  <si>
    <t>1Sa 17:45; Mat 4:4; 26:52; 2Co 10:4; Eph 6:10-18; Heb 4:12; 1Pe 2:15; Rev 2:16; 12:11</t>
  </si>
  <si>
    <t>Mat 13:10-12; Luk 10:21-24; Joh 14:16-18; Rom 5:1-6; 1Co 2:9-12; 1Jo 2:18-21; 3:1-2</t>
  </si>
  <si>
    <t>Job 34:29; Joh 14:1,27; 16:20-22, 33; Rom 8:38,39; 1Co 15:58; Eph 3:16-21; Php 4:7,8; 1Pe 5:10</t>
  </si>
  <si>
    <t>Ps 39:4-6; 90:9-12; 95:7-9; Ecc 9:10;  Isa 55:6; Rom 13:11; 2Co 6:2; Eph 5:15-16</t>
  </si>
  <si>
    <t>Hos 11:4; Joh 12:32; 1Co 13:13; Ga 5:6,22; Eph 3:17-19; 5:2; Col 3:14; 1Jo 4:16-18</t>
  </si>
  <si>
    <t>Exo 14:23-28; Num 22:32; Jos 13:22; Luk 16:24-29; Heb 2:1-4; 10:24-31; 12:17; 2Pe 2:4-6</t>
  </si>
  <si>
    <t>Mat 16:21-23; 18:21-35; 19:13-15; 26:8-10; Mar 9:33-37; Luk 19:37-44; Joh 6:15; 18:10-11</t>
  </si>
  <si>
    <t xml:space="preserve">Ps 131:2; Pro 1:33; Isa 28:16; 32:17; Lam 3:26; Dan 2:15-18; Rom 5:1; 1Pe 3:12
</t>
  </si>
  <si>
    <t>Ps 36:8-10; Joh 10:10; Rom. 8:32; 2Co 9:8,15; Eph 3:17-21; Col 2:9,10; 2Pe 1:4,11</t>
  </si>
  <si>
    <t>Being Committed (not merely involved)xxxxxxxdd</t>
  </si>
  <si>
    <t>Gen 17:18-19; 48:8-20; Act 16:6-10, 23-34; 2Co 12:7-10; Heb 11:17-19,39-40</t>
  </si>
  <si>
    <t>Os insondáveis caminhos de Deus</t>
  </si>
  <si>
    <t xml:space="preserve">O gozo da salvação </t>
  </si>
  <si>
    <t>Não há fuga</t>
  </si>
  <si>
    <t xml:space="preserve">Firmeza na incerteza </t>
  </si>
  <si>
    <t xml:space="preserve">As lutas diárias </t>
  </si>
  <si>
    <t>A vida abundante</t>
  </si>
  <si>
    <t xml:space="preserve">A beleza da simplicidade </t>
  </si>
  <si>
    <t xml:space="preserve">Os esconderijos </t>
  </si>
  <si>
    <t>Alcançando a aprovação de Deus</t>
  </si>
  <si>
    <t>A preeminência do amor</t>
  </si>
  <si>
    <t xml:space="preserve">O tipo de coração que necessitamos </t>
  </si>
  <si>
    <t xml:space="preserve">Serviço no tempo apropriado </t>
  </si>
  <si>
    <t>A calma do povo de Deus</t>
  </si>
  <si>
    <t>As armas da nossa luta</t>
  </si>
  <si>
    <t>Tenha um ouvido atento</t>
  </si>
  <si>
    <t xml:space="preserve">A mais alta vocação </t>
  </si>
  <si>
    <t>Decepções planejadas por Deus</t>
  </si>
  <si>
    <t>Redimindo o tempo</t>
  </si>
  <si>
    <t xml:space="preserve">Nunca perca o seu ânimo </t>
  </si>
  <si>
    <t xml:space="preserve">A mão de Deus provendo e protegendo </t>
  </si>
  <si>
    <t xml:space="preserve">Um raio de esperança na escuridão </t>
  </si>
  <si>
    <t>Os santificados glorificando Deus</t>
  </si>
  <si>
    <t xml:space="preserve">As paredes de separação desmoronando </t>
  </si>
  <si>
    <t xml:space="preserve">A glória do Senhor </t>
  </si>
  <si>
    <t xml:space="preserve">Sendo resolutos para fazer a vontade de Deus </t>
  </si>
  <si>
    <t>A verdade traz convicção e a cura</t>
  </si>
  <si>
    <t xml:space="preserve">O bom pastor morre pelas ovelhas </t>
  </si>
  <si>
    <t xml:space="preserve">O grande pastor cuida das ovelhas </t>
  </si>
  <si>
    <t xml:space="preserve">Aqueles que Deus ama guiar </t>
  </si>
  <si>
    <t xml:space="preserve">Expressar amor por Deus pela obediência </t>
  </si>
  <si>
    <t>O pastor concede todas as nossas necessidades</t>
  </si>
  <si>
    <t>Deus resiste os soberbos</t>
  </si>
  <si>
    <t>Todo inimigo vencido, todo pecado perdoado</t>
  </si>
  <si>
    <t>A água da vida flui progressivamente mais fundo</t>
  </si>
  <si>
    <t xml:space="preserve">Deus é maior do que circunstâncias e o inimigo </t>
  </si>
  <si>
    <t>O meu caminho é errado, mas o caminho de Deus é certo</t>
  </si>
  <si>
    <t>Going from Strength to Strength \ Ukutwalilila mumaka nakulxxddddd</t>
  </si>
  <si>
    <t>Lieflikheid van eenvoud</t>
  </si>
  <si>
    <t>Ps 131:1-2;  Isa 52:7; Mat 5:3; 11:25; 21:16; Mar 10:14-15; Luk 2:6-20; Rom 16:19,20; 2Co 1:12</t>
  </si>
  <si>
    <t xml:space="preserve">Isa 28:6; Mar 6:48; Luk 9:23; 13:24; Php 1:27; 1Tim 6:11–12; 2Tim 3:1-5; Heb 12:4
</t>
  </si>
  <si>
    <t>Gen 18:2-8; Jos 2:6-21; 1Sa 25:18-33; Mar 14:8; 15:40-47; Act 23:16-23; 28:15; 2Tim 1:16-18</t>
  </si>
  <si>
    <t>Miracle of God's Forgiveness \ Icipeshamano cakwa Leddaasxxxxxssss</t>
  </si>
  <si>
    <t>Being Committed (not merely involved)xxxxxxxxxxxxxxxxxss</t>
  </si>
  <si>
    <t>Visit of the Queen of Sheba \ Kushanya kwaMambokadzi wnnnnnxxxs</t>
  </si>
  <si>
    <t>Gen 16:13-14; 22:14; 28:19; 35:7; Jdg 15:17-19; 1Sa 7:12; Mat 26:36; Joh 19:17</t>
  </si>
  <si>
    <t>Gen 6:8,22; 17:1; Exo 33:12-17; 1Sa 2:26; 3:10,19; 15:22; Isa 66:2; Dan 10:11,12; Joh 8:29; Act 13:22</t>
  </si>
  <si>
    <t>USamuweli 1</t>
  </si>
  <si>
    <t>USamuweli 2</t>
  </si>
  <si>
    <t>Matokeo ya mafanikio &amp; kutokufanikiwa</t>
  </si>
  <si>
    <t>Njia za Mungu hazitafutikani</t>
  </si>
  <si>
    <t>Furaha ya wokovu</t>
  </si>
  <si>
    <t>Hakuna njia ya kuepukia</t>
  </si>
  <si>
    <t>Nafasi maalum tunazofurahia</t>
  </si>
  <si>
    <t>Mifano inayotuhakikishia</t>
  </si>
  <si>
    <t>Majibu ya Yesu</t>
  </si>
  <si>
    <t>Upendo wa Yesu wa kujitoa</t>
  </si>
  <si>
    <t>Msimamo nyakati za shida</t>
  </si>
  <si>
    <t>Vita vya kila siku</t>
  </si>
  <si>
    <t>Uzima tele</t>
  </si>
  <si>
    <t>Uzuri wa unyenyekevu</t>
  </si>
  <si>
    <t>Mahali pa kujificha</t>
  </si>
  <si>
    <t>Kupata kibali cha Mungu</t>
  </si>
  <si>
    <t>Upendo kwanza</t>
  </si>
  <si>
    <t>Aina ya moyo tunayohitaji</t>
  </si>
  <si>
    <t>Majina  ya mahali muhimu</t>
  </si>
  <si>
    <t>Umuhimu wa kusudi</t>
  </si>
  <si>
    <t>Huduma kwa wakati wake</t>
  </si>
  <si>
    <t>Hali ya utulivu ya watu wa Mungu</t>
  </si>
  <si>
    <t>Silaha za vita vyetu</t>
  </si>
  <si>
    <t>Kuwa na masikio yanayosikiliza</t>
  </si>
  <si>
    <t>Mwito mkuu</t>
  </si>
  <si>
    <t>Kukomboa wakati</t>
  </si>
  <si>
    <t>Kumwamini Mungu tukianza upya</t>
  </si>
  <si>
    <t>Mkono wa Mungu ukaripiao umeondolewa</t>
  </si>
  <si>
    <t>Baraka kubwa, mashambulizi makali</t>
  </si>
  <si>
    <t>Usilegeze ushujaa</t>
  </si>
  <si>
    <t>Mkono wa Mungu unatupatia na unatulinda</t>
  </si>
  <si>
    <t>Tunavyozidi kukosa Msimamo ndivyo tutazidi kuzorota</t>
  </si>
  <si>
    <t>Tumaini la mwanga gizani</t>
  </si>
  <si>
    <t>Kumngoja Mungu sio kupoteza wakati</t>
  </si>
  <si>
    <t>Umoja ni nguvu</t>
  </si>
  <si>
    <t>Tunavyojitoa zaidi, mapingamizi yanazidi</t>
  </si>
  <si>
    <t>Adui aliye ndani yetu ni hatari mkubwa zaidi</t>
  </si>
  <si>
    <t>Furaha katika mapenzi ya Mungu huleta mafanikio</t>
  </si>
  <si>
    <t>Ukuu wa Mungu na uovu wa mwanadamu</t>
  </si>
  <si>
    <t>Tibu chanzo cha ugonjwa kwanza!</t>
  </si>
  <si>
    <t>Wanaojiweka wakfu wanamtukuza Mungu</t>
  </si>
  <si>
    <t>Ukuta wa utengano unaporomoka</t>
  </si>
  <si>
    <t>Kumbuka baraka za Mungu</t>
  </si>
  <si>
    <t>Utukufu wa Bwana</t>
  </si>
  <si>
    <t>Kaza uso kufanya mapenzi ya Mungu</t>
  </si>
  <si>
    <t>Ukweli huleta uhakika na uponyaji</t>
  </si>
  <si>
    <t>Jihadharini hata baada ya ushindi</t>
  </si>
  <si>
    <t>Mchungaji mwema huwafia kondoo wake</t>
  </si>
  <si>
    <t>Mchungaji mkuu huchunga kondoo</t>
  </si>
  <si>
    <t>Mchungaji mkuu hurudi katika utukufu</t>
  </si>
  <si>
    <t>Watu ambao Mungu hupenda kuwaongoza</t>
  </si>
  <si>
    <t>Tufanyeje na uzushi mbaya</t>
  </si>
  <si>
    <t>Mahitaji yote hupatikana kwa Mchungaji wetu</t>
  </si>
  <si>
    <t>Mungu bado anawapinga wenye kiburi</t>
  </si>
  <si>
    <t>Tangu kuachwa ukiwa hadi kufurahi</t>
  </si>
  <si>
    <t>Uwezo wa Neno na Roho uletao uhai.</t>
  </si>
  <si>
    <t>Kila adui ameshindwa; kila dhambi imesamehewa</t>
  </si>
  <si>
    <t>Maji ya uzima huendelea kuzidi kuwa na kina</t>
  </si>
  <si>
    <t>Mungu ni mkuu kuliko majukumu na maadui</t>
  </si>
  <si>
    <t>Maombi yaliyojibiwa huleta wimbo mpya</t>
  </si>
  <si>
    <t>Njia yangu ni mbovu, njia ya Mungu ni sahihi</t>
  </si>
  <si>
    <t>Remembering God's undertaking \ Kumbuka – shughulssddddlmmmmh</t>
  </si>
  <si>
    <t xml:space="preserve">Les effets de la prospérité et de l'adversité </t>
  </si>
  <si>
    <t>Les voies de Dieu sont insondables</t>
  </si>
  <si>
    <t>La joie du salut</t>
  </si>
  <si>
    <t>Aucun moyen d'échapper</t>
  </si>
  <si>
    <t>Les privilèges spéciaux dont nous jouissons</t>
  </si>
  <si>
    <t>Des exemples convaincants</t>
  </si>
  <si>
    <t xml:space="preserve">Les réponses de Jésus </t>
  </si>
  <si>
    <t xml:space="preserve">L'amour dévoué de Jésus </t>
  </si>
  <si>
    <t xml:space="preserve">La stabilité dans les temps troublés </t>
  </si>
  <si>
    <t xml:space="preserve">Les luttes quotidiennes </t>
  </si>
  <si>
    <t>Une vie abondante</t>
  </si>
  <si>
    <t xml:space="preserve">La beauté de la simplicité </t>
  </si>
  <si>
    <t>Les cachettes</t>
  </si>
  <si>
    <t>Gagner l'approbation de Dieu</t>
  </si>
  <si>
    <t>La prééminence de l'amour</t>
  </si>
  <si>
    <t>Noms des lieux significatifs</t>
  </si>
  <si>
    <t xml:space="preserve">L'importance de la perspective </t>
  </si>
  <si>
    <t>Le service opportune</t>
  </si>
  <si>
    <t>La quiétude du peuple de Dieu</t>
  </si>
  <si>
    <t>Les armes de notre combat</t>
  </si>
  <si>
    <t>Avoir une oreille attentive</t>
  </si>
  <si>
    <t>La plus haute vocation</t>
  </si>
  <si>
    <t>Notre déception est souvent le plan de Dieu</t>
  </si>
  <si>
    <t>Racheter le temps</t>
  </si>
  <si>
    <t>1Nya</t>
  </si>
  <si>
    <t>2Nya</t>
  </si>
  <si>
    <t>Mit</t>
  </si>
  <si>
    <t>Wim</t>
  </si>
  <si>
    <t>Omb</t>
  </si>
  <si>
    <t>Yoe</t>
  </si>
  <si>
    <t>Yon</t>
  </si>
  <si>
    <t>Maombi yanabadilisha vitu jinsi yanavyonibadilisha mimi</t>
  </si>
  <si>
    <t>Jihadharini na adui anayeonekana kuwa rafiki</t>
  </si>
  <si>
    <t>Upendo kwa Mungu huonekana katika utiifu</t>
  </si>
  <si>
    <t>Rth 1:15-18; 2Ki 2:9,10; 5:1-4; Mat 5:13–16; Luk 22:10; Joh 12:3; 2Co 2:14-16; Heb 12:1,2</t>
  </si>
  <si>
    <t xml:space="preserve">O efeito da prosperidade e da adversidade </t>
  </si>
  <si>
    <t xml:space="preserve">Os privilégios especiais que desfrutamos </t>
  </si>
  <si>
    <t xml:space="preserve">Exemplos convincentes </t>
  </si>
  <si>
    <t>Às respostas de Jesus</t>
  </si>
  <si>
    <t>Cristo abnegou-se por amor</t>
  </si>
  <si>
    <t xml:space="preserve">O significado dos lugares </t>
  </si>
  <si>
    <t xml:space="preserve">À importância da perspectiva </t>
  </si>
  <si>
    <t xml:space="preserve">Confiando em Deus, por novo início </t>
  </si>
  <si>
    <t>O mão de castigo de Deus removida</t>
  </si>
  <si>
    <t>Quanto mais bênção, mais ataques ferozes</t>
  </si>
  <si>
    <t>A oração muda as coisas quando ela nos muda primeiro</t>
  </si>
  <si>
    <t>Esperar em Deus não é tempo perdido</t>
  </si>
  <si>
    <t xml:space="preserve">União faz a força </t>
  </si>
  <si>
    <t xml:space="preserve">Quanto mais dedicação, maior oposição </t>
  </si>
  <si>
    <t xml:space="preserve">O inimigo interior é o maior perigo </t>
  </si>
  <si>
    <t>Cuidado com o inimigo amigável</t>
  </si>
  <si>
    <t>Ficando frutíferos por deleitar-se na vontade de Deus</t>
  </si>
  <si>
    <t>A majestade de Deus e a depravação do homem</t>
  </si>
  <si>
    <t xml:space="preserve">Trate primeiro à causa, não os sintomas </t>
  </si>
  <si>
    <t xml:space="preserve">Sondando às nossas prioridades </t>
  </si>
  <si>
    <t xml:space="preserve">Notando as bênçãos provenientes de Deus </t>
  </si>
  <si>
    <t>Seja vigilante mesmo depois da vitória</t>
  </si>
  <si>
    <t xml:space="preserve">O sumo pastor vem em glória </t>
  </si>
  <si>
    <t xml:space="preserve">Suportando calúnia maliciosa </t>
  </si>
  <si>
    <t>Indo da desolação ao deleite</t>
  </si>
  <si>
    <t xml:space="preserve">O poder vivificante da palavra e do Espírito </t>
  </si>
  <si>
    <t>Orações respondidas traz um novo cantico</t>
  </si>
  <si>
    <t>La main châtiante de Dieu retirée</t>
  </si>
  <si>
    <t>Ne laissez jamais votre courage faiblir</t>
  </si>
  <si>
    <t>La main de Dieu pourvoit et protège</t>
  </si>
  <si>
    <t>La spirale descendante du compromis</t>
  </si>
  <si>
    <t xml:space="preserve">Rayon d'espoir dans l'obscurité </t>
  </si>
  <si>
    <t xml:space="preserve">La prière change les choses, si elle me change d'abord </t>
  </si>
  <si>
    <t>Pas de temps perdu à attendre</t>
  </si>
  <si>
    <t>L'unité fait la force</t>
  </si>
  <si>
    <t>Plus grand dévouement, plus grande opposition</t>
  </si>
  <si>
    <t>L'ennemi intérieur est le plus grand danger</t>
  </si>
  <si>
    <t>Méfiez-vous de l'ennemi amical</t>
  </si>
  <si>
    <t>Productivité en se réjouissant de la volonté de Dieu</t>
  </si>
  <si>
    <t>Traitez d’abord la cause, pas les symptômes</t>
  </si>
  <si>
    <t>Un peuple sanctifié qui glorifie Dieu</t>
  </si>
  <si>
    <t>Les murs de séparation s’effondrent</t>
  </si>
  <si>
    <t>Examiner ses propres priorités</t>
  </si>
  <si>
    <t>Kujichunguza vipaumbele vyetu</t>
  </si>
  <si>
    <t>Kukatishwa tamaa kwetu, mara nyingi kuteuliwa na Mungu</t>
  </si>
  <si>
    <t>La vérité apporte la conviction et la guérison</t>
  </si>
  <si>
    <t>Dieu résiste toujours aux orgueilleux</t>
  </si>
  <si>
    <t>Atos</t>
  </si>
  <si>
    <t>Exo 20:21; 33:20; Deu 5:22; Job 26:14; 33:13; Isa 55:9; Rom 11:33; 1Tim 6:15-16</t>
  </si>
  <si>
    <t>Números</t>
  </si>
  <si>
    <t>Deuteronômio</t>
  </si>
  <si>
    <t>Juízes</t>
  </si>
  <si>
    <t>2 Crônicas</t>
  </si>
  <si>
    <t>Neemias</t>
  </si>
  <si>
    <t>Eclesiastes</t>
  </si>
  <si>
    <t>Isaías</t>
  </si>
  <si>
    <t>Jeremias</t>
  </si>
  <si>
    <t>Lamentações</t>
  </si>
  <si>
    <t>Ezequiel</t>
  </si>
  <si>
    <t xml:space="preserve">Daniel </t>
  </si>
  <si>
    <t>Amós</t>
  </si>
  <si>
    <t>Obadias</t>
  </si>
  <si>
    <t>Miqueias</t>
  </si>
  <si>
    <t>Naum</t>
  </si>
  <si>
    <t>Habacuque</t>
  </si>
  <si>
    <t>Izindlela zeNkosi ezingaqondakaliyo</t>
  </si>
  <si>
    <t>Uthando nguNkulunkulu lubonakaliswa ngokumthobela</t>
  </si>
  <si>
    <t>Imiphumela yempumelelo nobunzima</t>
  </si>
  <si>
    <t>Nee</t>
  </si>
  <si>
    <t>Cant</t>
  </si>
  <si>
    <t>Lukala</t>
  </si>
  <si>
    <t>Ulwimbo</t>
  </si>
  <si>
    <t>Leb</t>
  </si>
  <si>
    <t>Esr</t>
  </si>
  <si>
    <t>Bulanda</t>
  </si>
  <si>
    <t>Ese</t>
  </si>
  <si>
    <t>1 Samuweli</t>
  </si>
  <si>
    <t>2 Samuweli</t>
  </si>
  <si>
    <t>Yohane</t>
  </si>
  <si>
    <t>Imilimo ya Batumwa</t>
  </si>
  <si>
    <t>1 Abena Korinti</t>
  </si>
  <si>
    <t>2 Abena Korinti</t>
  </si>
  <si>
    <t>Abena Efese</t>
  </si>
  <si>
    <t>AbaHebere</t>
  </si>
  <si>
    <t>Ubusokolola</t>
  </si>
  <si>
    <t>Miq</t>
  </si>
  <si>
    <t>Nau</t>
  </si>
  <si>
    <t>Age</t>
  </si>
  <si>
    <t>Zac</t>
  </si>
  <si>
    <t>Ato</t>
  </si>
  <si>
    <t>Ukuthokoza ngensindiso</t>
  </si>
  <si>
    <t>Amathuba ethu akhethekileyo</t>
  </si>
  <si>
    <t>Izibonelo ezinemfuzelo enhle</t>
  </si>
  <si>
    <t xml:space="preserve">Qaphela nangasemva kokunqoba </t>
  </si>
  <si>
    <t>Abantu iNkosi ethanda ukubaqondisa</t>
  </si>
  <si>
    <t>Umthandazo ophendulwe unikeza ingoma entsha</t>
  </si>
  <si>
    <t>Sibe ngabagxilileyo ezikhathini ezinzima</t>
  </si>
  <si>
    <t>Ukumelana nezitha nobunzima ngosuku  nosuku</t>
  </si>
  <si>
    <t>Lé</t>
  </si>
  <si>
    <t>Ru</t>
  </si>
  <si>
    <t>Né</t>
  </si>
  <si>
    <t>És</t>
  </si>
  <si>
    <t>La</t>
  </si>
  <si>
    <t>Éz</t>
  </si>
  <si>
    <t>Os</t>
  </si>
  <si>
    <t>Joë</t>
  </si>
  <si>
    <t>Ab</t>
  </si>
  <si>
    <t>Mi</t>
  </si>
  <si>
    <t>Na</t>
  </si>
  <si>
    <t>Ha</t>
  </si>
  <si>
    <t>So</t>
  </si>
  <si>
    <t>Ag</t>
  </si>
  <si>
    <t>Za</t>
  </si>
  <si>
    <t>Hé</t>
  </si>
  <si>
    <t>1Jn</t>
  </si>
  <si>
    <t>2Jn</t>
  </si>
  <si>
    <t>3Jn</t>
  </si>
  <si>
    <t>Ca</t>
  </si>
  <si>
    <t>Fais confiance à Dieu pour un nouveau commencement</t>
  </si>
  <si>
    <t>La majesté de Dieu et la dépravation de l'homme</t>
  </si>
  <si>
    <t>Reconnaître les bénédictions de Dieu</t>
  </si>
  <si>
    <t>La gloire du Seigneur</t>
  </si>
  <si>
    <t>Se fixer à faire la volonté de Dieu</t>
  </si>
  <si>
    <t>Sois vigilant, même après la victoire</t>
  </si>
  <si>
    <t>Le bon berger meurt pour ses brebis</t>
  </si>
  <si>
    <t>Le grand berger prend soin de ses brebis</t>
  </si>
  <si>
    <t>Le chef des bergers vient dans la gloire</t>
  </si>
  <si>
    <t>Les gens que le Seigneur aime guider</t>
  </si>
  <si>
    <t>Gérer les calomnies malicieuses</t>
  </si>
  <si>
    <t>L'amour pour Dieu s’exprime dans l’obéissance</t>
  </si>
  <si>
    <t>Tous les besoins sont comblés en notre berger</t>
  </si>
  <si>
    <t>De la désolation au bonheur</t>
  </si>
  <si>
    <t>Le pouvoir vivifiant de la parole et de l’esprit</t>
  </si>
  <si>
    <t>Tous les ennemies vaincus, tous les péchés pardonnés</t>
  </si>
  <si>
    <t>L’eau de la vie coule de plus en plus en profondeur</t>
  </si>
  <si>
    <t>Dieu est plus grand que les circonstances et les ennemies</t>
  </si>
  <si>
    <t>Une prière exaucée donne un nouveau chant</t>
  </si>
  <si>
    <t>Mon chemin est tortueux, le chemin de Dieu est droit</t>
  </si>
  <si>
    <t>Le genre de cœur dont nous avons besoin</t>
  </si>
  <si>
    <t>Une plus grande bénédiction, une attaque plus féroce</t>
  </si>
  <si>
    <t>Violar nossos valores leva para baixo</t>
  </si>
</sst>
</file>

<file path=xl/styles.xml><?xml version="1.0" encoding="utf-8"?>
<styleSheet xmlns="http://schemas.openxmlformats.org/spreadsheetml/2006/main">
  <numFmts count="3">
    <numFmt numFmtId="164" formatCode="ddd\ dd\ mmm\ yyyy"/>
    <numFmt numFmtId="165" formatCode="ddd\ dd\-mmm\-yyyy"/>
    <numFmt numFmtId="166" formatCode="ddd\ dd\ mmm\ yy"/>
  </numFmts>
  <fonts count="31">
    <font>
      <sz val="11"/>
      <color theme="1"/>
      <name val="Calibri"/>
      <family val="2"/>
      <scheme val="minor"/>
    </font>
    <font>
      <sz val="11"/>
      <color theme="1"/>
      <name val="Calibri"/>
      <family val="2"/>
      <scheme val="minor"/>
    </font>
    <font>
      <b/>
      <sz val="12"/>
      <name val="Tahoma"/>
      <family val="2"/>
    </font>
    <font>
      <sz val="12"/>
      <color theme="1"/>
      <name val="Tahoma"/>
      <family val="2"/>
    </font>
    <font>
      <sz val="12"/>
      <name val="Tahoma"/>
      <family val="2"/>
    </font>
    <font>
      <b/>
      <sz val="12"/>
      <color theme="1"/>
      <name val="Tahoma"/>
      <family val="2"/>
    </font>
    <font>
      <b/>
      <sz val="20"/>
      <name val="Tahoma"/>
      <family val="2"/>
    </font>
    <font>
      <b/>
      <sz val="13"/>
      <name val="Tahoma"/>
      <family val="2"/>
    </font>
    <font>
      <u/>
      <sz val="12"/>
      <color theme="1"/>
      <name val="Tahoma"/>
      <family val="2"/>
    </font>
    <font>
      <sz val="11"/>
      <name val="Calibri"/>
      <family val="2"/>
    </font>
    <font>
      <sz val="11"/>
      <color indexed="64"/>
      <name val="Calibri"/>
      <family val="2"/>
    </font>
    <font>
      <b/>
      <sz val="12"/>
      <name val="Arial"/>
      <family val="2"/>
    </font>
    <font>
      <sz val="11"/>
      <name val="Calibri"/>
      <family val="2"/>
      <scheme val="minor"/>
    </font>
    <font>
      <sz val="12"/>
      <name val="Arial"/>
      <family val="2"/>
    </font>
    <font>
      <sz val="11"/>
      <color rgb="FF000000"/>
      <name val="Calibri"/>
      <family val="2"/>
    </font>
    <font>
      <sz val="12"/>
      <name val="Calibri"/>
      <family val="2"/>
      <scheme val="minor"/>
    </font>
    <font>
      <sz val="12"/>
      <color rgb="FF000000"/>
      <name val="Tahoma"/>
      <family val="2"/>
    </font>
    <font>
      <sz val="12"/>
      <color theme="3"/>
      <name val="Tahoma"/>
      <family val="2"/>
    </font>
    <font>
      <sz val="18"/>
      <name val="Tahoma"/>
      <family val="2"/>
    </font>
    <font>
      <sz val="11"/>
      <color indexed="8"/>
      <name val="Calibri"/>
      <family val="2"/>
    </font>
    <font>
      <sz val="10"/>
      <color theme="1"/>
      <name val="Tahoma"/>
      <family val="2"/>
    </font>
    <font>
      <sz val="12"/>
      <color rgb="FFFF0000"/>
      <name val="Tahoma"/>
      <family val="2"/>
    </font>
    <font>
      <b/>
      <sz val="11"/>
      <color theme="1"/>
      <name val="Tahoma"/>
      <family val="2"/>
    </font>
    <font>
      <sz val="14"/>
      <color theme="1"/>
      <name val="Arial"/>
      <family val="2"/>
    </font>
    <font>
      <sz val="12"/>
      <name val="Coart"/>
    </font>
    <font>
      <sz val="10"/>
      <color theme="1"/>
      <name val="Calibri"/>
      <family val="2"/>
      <scheme val="minor"/>
    </font>
    <font>
      <sz val="8"/>
      <name val="Calibri"/>
      <family val="2"/>
      <scheme val="minor"/>
    </font>
    <font>
      <sz val="14"/>
      <color rgb="FF000000"/>
      <name val="Calibri"/>
      <family val="2"/>
      <scheme val="minor"/>
    </font>
    <font>
      <sz val="11"/>
      <color rgb="FF000000"/>
      <name val="Calibri"/>
      <family val="2"/>
      <scheme val="minor"/>
    </font>
    <font>
      <b/>
      <sz val="12"/>
      <color rgb="FF000000"/>
      <name val="Tahoma"/>
      <family val="2"/>
    </font>
    <font>
      <sz val="12"/>
      <color rgb="FF222222"/>
      <name val="Arial"/>
      <family val="2"/>
    </font>
  </fonts>
  <fills count="7">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rgb="FFFFC000"/>
        <bgColor indexed="64"/>
      </patternFill>
    </fill>
    <fill>
      <patternFill patternType="solid">
        <fgColor rgb="FFFFFF00"/>
        <bgColor rgb="FFFFFF00"/>
      </patternFill>
    </fill>
    <fill>
      <patternFill patternType="solid">
        <fgColor theme="0"/>
        <bgColor indexed="64"/>
      </patternFill>
    </fill>
  </fills>
  <borders count="45">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diagonal/>
    </border>
    <border>
      <left style="medium">
        <color indexed="64"/>
      </left>
      <right style="thin">
        <color indexed="64"/>
      </right>
      <top style="medium">
        <color indexed="64"/>
      </top>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bottom style="thin">
        <color indexed="64"/>
      </bottom>
      <diagonal/>
    </border>
    <border>
      <left style="thin">
        <color rgb="FF000000"/>
      </left>
      <right style="thin">
        <color rgb="FF000000"/>
      </right>
      <top style="thin">
        <color rgb="FF000000"/>
      </top>
      <bottom style="thin">
        <color rgb="FF000000"/>
      </bottom>
      <diagonal/>
    </border>
  </borders>
  <cellStyleXfs count="11">
    <xf numFmtId="0" fontId="0" fillId="0" borderId="0"/>
    <xf numFmtId="0" fontId="1" fillId="0" borderId="0"/>
    <xf numFmtId="0" fontId="9" fillId="0" borderId="0">
      <alignment vertical="center"/>
    </xf>
    <xf numFmtId="0" fontId="10" fillId="0" borderId="0">
      <alignment vertical="center"/>
    </xf>
    <xf numFmtId="0" fontId="9" fillId="0" borderId="0">
      <protection locked="0"/>
    </xf>
    <xf numFmtId="0" fontId="14" fillId="0" borderId="0">
      <protection locked="0"/>
    </xf>
    <xf numFmtId="0" fontId="10" fillId="0" borderId="0">
      <protection locked="0"/>
    </xf>
    <xf numFmtId="0" fontId="14" fillId="0" borderId="0"/>
    <xf numFmtId="0" fontId="19" fillId="0" borderId="0" applyNumberFormat="0" applyFill="0" applyBorder="0" applyProtection="0"/>
    <xf numFmtId="0" fontId="12" fillId="0" borderId="0"/>
    <xf numFmtId="0" fontId="9" fillId="0" borderId="0">
      <alignment vertical="center"/>
    </xf>
  </cellStyleXfs>
  <cellXfs count="286">
    <xf numFmtId="0" fontId="0" fillId="0" borderId="0" xfId="0"/>
    <xf numFmtId="0" fontId="3" fillId="0" borderId="0" xfId="0" applyFont="1" applyAlignment="1">
      <alignment wrapText="1"/>
    </xf>
    <xf numFmtId="0" fontId="3" fillId="0" borderId="0" xfId="0" applyFont="1" applyAlignment="1">
      <alignment vertical="center" wrapText="1"/>
    </xf>
    <xf numFmtId="49" fontId="2" fillId="0" borderId="0" xfId="0" applyNumberFormat="1" applyFont="1" applyAlignment="1">
      <alignment horizontal="center" vertical="center" wrapText="1"/>
    </xf>
    <xf numFmtId="49" fontId="4" fillId="0" borderId="0" xfId="0" applyNumberFormat="1" applyFont="1" applyAlignment="1">
      <alignment vertical="center" wrapText="1"/>
    </xf>
    <xf numFmtId="0" fontId="5" fillId="0" borderId="17" xfId="0" applyFont="1" applyBorder="1" applyAlignment="1">
      <alignment vertical="center" wrapText="1"/>
    </xf>
    <xf numFmtId="0" fontId="5" fillId="0" borderId="0" xfId="0" applyFont="1" applyAlignment="1">
      <alignment vertical="center" wrapText="1"/>
    </xf>
    <xf numFmtId="49" fontId="2" fillId="0" borderId="0" xfId="0" applyNumberFormat="1" applyFont="1" applyAlignment="1">
      <alignment horizontal="left" vertical="center" wrapText="1"/>
    </xf>
    <xf numFmtId="49" fontId="4" fillId="0" borderId="0" xfId="0" applyNumberFormat="1" applyFont="1" applyAlignment="1">
      <alignment horizontal="left" vertical="center" wrapText="1"/>
    </xf>
    <xf numFmtId="49" fontId="2" fillId="0" borderId="0" xfId="1" applyNumberFormat="1" applyFont="1" applyAlignment="1">
      <alignment horizontal="left" vertical="center" wrapText="1"/>
    </xf>
    <xf numFmtId="49" fontId="2" fillId="0" borderId="0" xfId="0" applyNumberFormat="1" applyFont="1" applyAlignment="1">
      <alignment vertical="center" wrapText="1"/>
    </xf>
    <xf numFmtId="0" fontId="3" fillId="0" borderId="0" xfId="0" applyFont="1" applyAlignment="1">
      <alignment vertical="center"/>
    </xf>
    <xf numFmtId="0" fontId="3" fillId="0" borderId="15" xfId="0" applyFont="1" applyBorder="1" applyAlignment="1">
      <alignment vertical="center"/>
    </xf>
    <xf numFmtId="0" fontId="5" fillId="0" borderId="15" xfId="0" applyFont="1" applyBorder="1" applyAlignment="1">
      <alignment vertical="center" wrapText="1"/>
    </xf>
    <xf numFmtId="0" fontId="8" fillId="0" borderId="0" xfId="0" applyFont="1" applyAlignment="1">
      <alignment vertical="center" wrapText="1"/>
    </xf>
    <xf numFmtId="0" fontId="3" fillId="0" borderId="0" xfId="0" applyFont="1"/>
    <xf numFmtId="0" fontId="3" fillId="0" borderId="0" xfId="0" applyFont="1" applyAlignment="1">
      <alignment horizontal="left" vertical="center" wrapText="1"/>
    </xf>
    <xf numFmtId="0" fontId="3" fillId="0" borderId="23" xfId="0" applyFont="1" applyBorder="1" applyAlignment="1">
      <alignment vertical="center" wrapText="1"/>
    </xf>
    <xf numFmtId="0" fontId="5" fillId="0" borderId="22" xfId="0" applyFont="1" applyBorder="1" applyAlignment="1">
      <alignment vertical="center" wrapText="1"/>
    </xf>
    <xf numFmtId="0" fontId="5" fillId="0" borderId="24" xfId="0" applyFont="1" applyBorder="1" applyAlignment="1">
      <alignment vertical="center" wrapText="1"/>
    </xf>
    <xf numFmtId="0" fontId="3" fillId="0" borderId="21" xfId="0" applyFont="1" applyBorder="1" applyAlignment="1">
      <alignment vertical="center" wrapText="1"/>
    </xf>
    <xf numFmtId="0" fontId="3" fillId="0" borderId="16" xfId="0" applyFont="1" applyBorder="1" applyAlignment="1">
      <alignment vertical="center" wrapText="1"/>
    </xf>
    <xf numFmtId="0" fontId="3" fillId="0" borderId="18" xfId="0" applyFont="1" applyBorder="1" applyAlignment="1">
      <alignment horizontal="left" vertical="center" wrapText="1"/>
    </xf>
    <xf numFmtId="0" fontId="3" fillId="0" borderId="15" xfId="0" applyFont="1" applyBorder="1" applyAlignment="1">
      <alignment horizontal="left" vertical="center" wrapText="1"/>
    </xf>
    <xf numFmtId="0" fontId="3" fillId="0" borderId="17" xfId="0" applyFont="1" applyBorder="1" applyAlignment="1">
      <alignment vertical="center" wrapText="1"/>
    </xf>
    <xf numFmtId="0" fontId="5" fillId="0" borderId="25" xfId="0" applyFont="1" applyBorder="1" applyAlignment="1">
      <alignment vertical="center" wrapText="1"/>
    </xf>
    <xf numFmtId="0" fontId="3" fillId="0" borderId="26" xfId="0" applyFont="1" applyBorder="1" applyAlignment="1">
      <alignment vertical="center" wrapText="1"/>
    </xf>
    <xf numFmtId="0" fontId="5" fillId="0" borderId="17" xfId="0" applyFont="1" applyBorder="1" applyAlignment="1">
      <alignment vertical="center"/>
    </xf>
    <xf numFmtId="0" fontId="5" fillId="0" borderId="25" xfId="0" applyFont="1" applyBorder="1" applyAlignment="1">
      <alignment vertical="center"/>
    </xf>
    <xf numFmtId="0" fontId="4" fillId="0" borderId="2" xfId="1" applyFont="1" applyBorder="1" applyAlignment="1">
      <alignment horizontal="left" vertical="center" wrapText="1"/>
    </xf>
    <xf numFmtId="0" fontId="3" fillId="0" borderId="2" xfId="1" applyFont="1" applyBorder="1" applyAlignment="1">
      <alignment horizontal="left" vertical="center" wrapText="1"/>
    </xf>
    <xf numFmtId="0" fontId="4" fillId="0" borderId="9" xfId="1" applyFont="1" applyBorder="1" applyAlignment="1">
      <alignment horizontal="left" vertical="center" wrapText="1"/>
    </xf>
    <xf numFmtId="0" fontId="3" fillId="0" borderId="9" xfId="1" applyFont="1" applyBorder="1" applyAlignment="1">
      <alignment horizontal="left" vertical="center" wrapText="1"/>
    </xf>
    <xf numFmtId="49" fontId="4" fillId="0" borderId="0" xfId="0" applyNumberFormat="1" applyFont="1" applyAlignment="1">
      <alignment vertical="center"/>
    </xf>
    <xf numFmtId="49" fontId="4" fillId="0" borderId="0" xfId="1" applyNumberFormat="1" applyFont="1" applyAlignment="1">
      <alignment horizontal="left" vertical="center"/>
    </xf>
    <xf numFmtId="164" fontId="3" fillId="0" borderId="0" xfId="0" applyNumberFormat="1" applyFont="1" applyAlignment="1">
      <alignment vertical="center" wrapText="1"/>
    </xf>
    <xf numFmtId="0" fontId="3" fillId="0" borderId="0" xfId="0" quotePrefix="1" applyFont="1" applyAlignment="1">
      <alignment wrapText="1"/>
    </xf>
    <xf numFmtId="0" fontId="4" fillId="0" borderId="0" xfId="2" applyFont="1" applyAlignment="1"/>
    <xf numFmtId="0" fontId="5" fillId="0" borderId="26" xfId="0" applyFont="1" applyBorder="1" applyAlignment="1">
      <alignment vertical="center" wrapText="1"/>
    </xf>
    <xf numFmtId="0" fontId="4" fillId="0" borderId="22" xfId="0" applyFont="1" applyBorder="1" applyAlignment="1">
      <alignment horizontal="left" vertical="center"/>
    </xf>
    <xf numFmtId="0" fontId="3" fillId="0" borderId="18" xfId="0" applyFont="1" applyBorder="1" applyAlignment="1">
      <alignment vertical="center"/>
    </xf>
    <xf numFmtId="0" fontId="4" fillId="0" borderId="0" xfId="0" applyFont="1" applyAlignment="1">
      <alignment vertical="center"/>
    </xf>
    <xf numFmtId="49" fontId="4" fillId="0" borderId="0" xfId="1" applyNumberFormat="1" applyFont="1" applyAlignment="1">
      <alignment horizontal="left" vertical="center" wrapText="1"/>
    </xf>
    <xf numFmtId="0" fontId="3" fillId="0" borderId="3" xfId="0" applyFont="1" applyBorder="1" applyAlignment="1">
      <alignment horizontal="left" vertical="center" wrapText="1"/>
    </xf>
    <xf numFmtId="0" fontId="3" fillId="0" borderId="27" xfId="0" applyFont="1" applyBorder="1" applyAlignment="1">
      <alignment horizontal="left" vertical="center" wrapText="1"/>
    </xf>
    <xf numFmtId="0" fontId="4" fillId="0" borderId="29" xfId="1" applyFont="1" applyBorder="1" applyAlignment="1">
      <alignment horizontal="left" vertical="center" wrapText="1"/>
    </xf>
    <xf numFmtId="0" fontId="3" fillId="0" borderId="30" xfId="0" applyFont="1" applyBorder="1" applyAlignment="1">
      <alignment horizontal="left" vertical="center" wrapText="1"/>
    </xf>
    <xf numFmtId="49" fontId="4" fillId="0" borderId="31" xfId="0" applyNumberFormat="1" applyFont="1" applyBorder="1" applyAlignment="1">
      <alignment horizontal="left" vertical="center" wrapText="1"/>
    </xf>
    <xf numFmtId="0" fontId="0" fillId="0" borderId="0" xfId="0" applyAlignment="1">
      <alignment horizontal="left" vertical="center" wrapText="1"/>
    </xf>
    <xf numFmtId="0" fontId="3" fillId="0" borderId="0" xfId="0" applyFont="1" applyAlignment="1">
      <alignment horizontal="left" wrapText="1"/>
    </xf>
    <xf numFmtId="0" fontId="3" fillId="0" borderId="32" xfId="0" applyFont="1" applyBorder="1" applyAlignment="1">
      <alignment horizontal="left" vertical="center" wrapText="1"/>
    </xf>
    <xf numFmtId="49" fontId="3" fillId="0" borderId="32" xfId="0" applyNumberFormat="1" applyFont="1" applyBorder="1" applyAlignment="1">
      <alignment horizontal="left" vertical="center" wrapText="1"/>
    </xf>
    <xf numFmtId="49" fontId="3" fillId="0" borderId="31" xfId="0" applyNumberFormat="1" applyFont="1" applyBorder="1" applyAlignment="1">
      <alignment horizontal="left" vertical="center" wrapText="1"/>
    </xf>
    <xf numFmtId="49" fontId="4" fillId="0" borderId="32" xfId="0" applyNumberFormat="1" applyFont="1" applyBorder="1" applyAlignment="1">
      <alignment horizontal="left" vertical="center" wrapText="1"/>
    </xf>
    <xf numFmtId="0" fontId="3" fillId="0" borderId="31" xfId="0" applyFont="1" applyBorder="1" applyAlignment="1">
      <alignment horizontal="left" vertical="center" wrapText="1"/>
    </xf>
    <xf numFmtId="49" fontId="4" fillId="0" borderId="31" xfId="0" applyNumberFormat="1" applyFont="1" applyBorder="1" applyAlignment="1">
      <alignment horizontal="left" vertical="center"/>
    </xf>
    <xf numFmtId="0" fontId="3" fillId="0" borderId="31" xfId="0" applyFont="1" applyBorder="1" applyAlignment="1">
      <alignment horizontal="left" vertical="center"/>
    </xf>
    <xf numFmtId="0" fontId="3" fillId="0" borderId="10" xfId="0" applyFont="1" applyBorder="1" applyAlignment="1">
      <alignment horizontal="left" vertical="center" wrapText="1"/>
    </xf>
    <xf numFmtId="49" fontId="3" fillId="0" borderId="31" xfId="0" applyNumberFormat="1" applyFont="1" applyBorder="1" applyAlignment="1">
      <alignment horizontal="left" vertical="center"/>
    </xf>
    <xf numFmtId="0" fontId="0" fillId="0" borderId="0" xfId="0" applyAlignment="1">
      <alignment vertical="center" wrapText="1"/>
    </xf>
    <xf numFmtId="164" fontId="5" fillId="0" borderId="15" xfId="0" applyNumberFormat="1" applyFont="1" applyBorder="1" applyAlignment="1">
      <alignment horizontal="center" vertical="center" wrapText="1"/>
    </xf>
    <xf numFmtId="0" fontId="5" fillId="0" borderId="0" xfId="0" applyFont="1" applyAlignment="1">
      <alignment horizontal="center" vertical="center" wrapText="1"/>
    </xf>
    <xf numFmtId="49" fontId="4" fillId="2" borderId="1" xfId="0" applyNumberFormat="1" applyFont="1" applyFill="1" applyBorder="1" applyAlignment="1">
      <alignment horizontal="left" vertical="center" wrapText="1"/>
    </xf>
    <xf numFmtId="0" fontId="13" fillId="0" borderId="0" xfId="0" applyFont="1" applyAlignment="1">
      <alignment horizontal="left" vertical="top"/>
    </xf>
    <xf numFmtId="0" fontId="4" fillId="0" borderId="0" xfId="0" applyFont="1" applyAlignment="1">
      <alignment vertical="center" wrapText="1"/>
    </xf>
    <xf numFmtId="0" fontId="4" fillId="0" borderId="0" xfId="0" applyFont="1" applyAlignment="1">
      <alignment horizontal="left" vertical="center"/>
    </xf>
    <xf numFmtId="0" fontId="4" fillId="0" borderId="20" xfId="0" applyFont="1" applyBorder="1"/>
    <xf numFmtId="0" fontId="4" fillId="0" borderId="0" xfId="0" applyFont="1"/>
    <xf numFmtId="0" fontId="13" fillId="0" borderId="0" xfId="0" applyFont="1"/>
    <xf numFmtId="0" fontId="3" fillId="0" borderId="36" xfId="0" applyFont="1" applyBorder="1" applyAlignment="1">
      <alignment horizontal="left" vertical="center" wrapText="1"/>
    </xf>
    <xf numFmtId="0" fontId="3" fillId="0" borderId="35" xfId="0" applyFont="1" applyBorder="1" applyAlignment="1">
      <alignment horizontal="left" vertical="center" wrapText="1"/>
    </xf>
    <xf numFmtId="0" fontId="4" fillId="0" borderId="20" xfId="2" applyFont="1" applyBorder="1" applyAlignment="1"/>
    <xf numFmtId="0" fontId="4" fillId="0" borderId="0" xfId="0" applyFont="1" applyAlignment="1">
      <alignment wrapText="1"/>
    </xf>
    <xf numFmtId="0" fontId="11" fillId="0" borderId="0" xfId="0" applyFont="1" applyAlignment="1">
      <alignment horizontal="left" vertical="top"/>
    </xf>
    <xf numFmtId="0" fontId="4" fillId="0" borderId="0" xfId="0" applyFont="1" applyAlignment="1">
      <alignment horizontal="right"/>
    </xf>
    <xf numFmtId="0" fontId="13" fillId="0" borderId="20" xfId="0" applyFont="1" applyBorder="1"/>
    <xf numFmtId="0" fontId="4" fillId="0" borderId="24" xfId="0" applyFont="1" applyBorder="1"/>
    <xf numFmtId="0" fontId="12" fillId="0" borderId="0" xfId="0" applyFont="1"/>
    <xf numFmtId="0" fontId="4" fillId="0" borderId="0" xfId="0" applyFont="1" applyAlignment="1">
      <alignment horizontal="center" wrapText="1"/>
    </xf>
    <xf numFmtId="0" fontId="4" fillId="0" borderId="0" xfId="3" applyFont="1" applyAlignment="1"/>
    <xf numFmtId="0" fontId="13" fillId="0" borderId="0" xfId="1" applyFont="1"/>
    <xf numFmtId="0" fontId="4" fillId="0" borderId="0" xfId="3" applyFont="1">
      <alignment vertical="center"/>
    </xf>
    <xf numFmtId="49" fontId="4" fillId="0" borderId="0" xfId="0" applyNumberFormat="1" applyFont="1" applyAlignment="1">
      <alignment horizontal="left" vertical="center"/>
    </xf>
    <xf numFmtId="0" fontId="4" fillId="0" borderId="0" xfId="0" applyFont="1" applyAlignment="1">
      <alignment horizontal="left" vertical="top" wrapText="1"/>
    </xf>
    <xf numFmtId="0" fontId="2" fillId="0" borderId="0" xfId="0" applyFont="1" applyAlignment="1">
      <alignment vertical="center"/>
    </xf>
    <xf numFmtId="0" fontId="2" fillId="0" borderId="0" xfId="0" applyFont="1" applyAlignment="1">
      <alignment horizontal="left" vertical="center" wrapText="1"/>
    </xf>
    <xf numFmtId="0" fontId="2" fillId="0" borderId="0" xfId="0" applyFont="1"/>
    <xf numFmtId="0" fontId="11" fillId="0" borderId="0" xfId="0" applyFont="1" applyAlignment="1">
      <alignment horizontal="left" vertical="top" wrapText="1"/>
    </xf>
    <xf numFmtId="0" fontId="2" fillId="0" borderId="0" xfId="0" applyFont="1" applyAlignment="1">
      <alignment vertical="center" wrapText="1"/>
    </xf>
    <xf numFmtId="49" fontId="4" fillId="0" borderId="0" xfId="0" applyNumberFormat="1" applyFont="1"/>
    <xf numFmtId="0" fontId="13" fillId="0" borderId="0" xfId="0" applyFont="1" applyAlignment="1">
      <alignment vertical="center"/>
    </xf>
    <xf numFmtId="0" fontId="15" fillId="0" borderId="0" xfId="0" applyFont="1"/>
    <xf numFmtId="0" fontId="4" fillId="0" borderId="1" xfId="0" applyFont="1" applyBorder="1" applyAlignment="1">
      <alignment horizontal="left" vertical="center" wrapText="1"/>
    </xf>
    <xf numFmtId="0" fontId="4" fillId="0" borderId="31" xfId="0" applyFont="1" applyBorder="1" applyAlignment="1">
      <alignment horizontal="left" vertical="center" wrapText="1"/>
    </xf>
    <xf numFmtId="0" fontId="3" fillId="0" borderId="1" xfId="0" applyFont="1" applyBorder="1" applyAlignment="1">
      <alignment horizontal="left" vertical="center" wrapText="1"/>
    </xf>
    <xf numFmtId="49" fontId="4" fillId="0" borderId="1" xfId="0" applyNumberFormat="1" applyFont="1" applyBorder="1" applyAlignment="1">
      <alignment horizontal="left" vertical="center" wrapText="1"/>
    </xf>
    <xf numFmtId="0" fontId="3" fillId="0" borderId="8" xfId="0" applyFont="1" applyBorder="1" applyAlignment="1">
      <alignment horizontal="left" vertical="center" wrapText="1"/>
    </xf>
    <xf numFmtId="49" fontId="4" fillId="0" borderId="8" xfId="0" applyNumberFormat="1" applyFont="1" applyBorder="1" applyAlignment="1">
      <alignment horizontal="left" vertical="center" wrapText="1"/>
    </xf>
    <xf numFmtId="49" fontId="4" fillId="0" borderId="1" xfId="0" applyNumberFormat="1" applyFont="1" applyBorder="1" applyAlignment="1">
      <alignment horizontal="left" vertical="center"/>
    </xf>
    <xf numFmtId="49" fontId="4" fillId="0" borderId="13" xfId="0" applyNumberFormat="1" applyFont="1" applyBorder="1" applyAlignment="1">
      <alignment horizontal="left" vertical="center" wrapText="1"/>
    </xf>
    <xf numFmtId="0" fontId="3" fillId="0" borderId="38" xfId="0" applyFont="1" applyBorder="1" applyAlignment="1">
      <alignment horizontal="left" vertical="center" wrapText="1"/>
    </xf>
    <xf numFmtId="0" fontId="3" fillId="0" borderId="37" xfId="0" applyFont="1" applyBorder="1" applyAlignment="1">
      <alignment horizontal="left" vertical="center" wrapText="1"/>
    </xf>
    <xf numFmtId="0" fontId="4" fillId="2" borderId="0" xfId="0" applyFont="1" applyFill="1"/>
    <xf numFmtId="0" fontId="4" fillId="0" borderId="0" xfId="0" applyFont="1" applyAlignment="1">
      <alignment horizontal="left" vertical="center" wrapText="1"/>
    </xf>
    <xf numFmtId="0" fontId="4" fillId="3" borderId="0" xfId="0" applyFont="1" applyFill="1"/>
    <xf numFmtId="0" fontId="9" fillId="0" borderId="0" xfId="0" applyFont="1"/>
    <xf numFmtId="0" fontId="4" fillId="3" borderId="0" xfId="0" applyFont="1" applyFill="1" applyAlignment="1">
      <alignment horizontal="right"/>
    </xf>
    <xf numFmtId="165" fontId="4" fillId="2" borderId="0" xfId="0" applyNumberFormat="1" applyFont="1" applyFill="1"/>
    <xf numFmtId="0" fontId="5" fillId="0" borderId="19" xfId="0" applyFont="1" applyBorder="1" applyAlignment="1">
      <alignment horizontal="center" vertical="center" wrapText="1"/>
    </xf>
    <xf numFmtId="0" fontId="5" fillId="0" borderId="20" xfId="0" applyFont="1" applyBorder="1" applyAlignment="1">
      <alignment horizontal="center" vertical="center" wrapText="1"/>
    </xf>
    <xf numFmtId="0" fontId="0" fillId="0" borderId="0" xfId="0" applyAlignment="1">
      <alignment horizontal="left" vertical="center"/>
    </xf>
    <xf numFmtId="166" fontId="3" fillId="0" borderId="0" xfId="0" applyNumberFormat="1" applyFont="1" applyAlignment="1">
      <alignment vertical="center" wrapText="1"/>
    </xf>
    <xf numFmtId="164" fontId="4" fillId="0" borderId="1" xfId="0" applyNumberFormat="1" applyFont="1" applyBorder="1" applyAlignment="1">
      <alignment vertical="center" wrapText="1"/>
    </xf>
    <xf numFmtId="0" fontId="12" fillId="0" borderId="20" xfId="0" applyFont="1" applyBorder="1"/>
    <xf numFmtId="0" fontId="12" fillId="0" borderId="0" xfId="0" applyFont="1" applyAlignment="1">
      <alignment horizontal="left" vertical="top" wrapText="1"/>
    </xf>
    <xf numFmtId="49" fontId="4" fillId="0" borderId="0" xfId="6" applyNumberFormat="1" applyFont="1" applyAlignment="1" applyProtection="1">
      <alignment horizontal="left" vertical="center"/>
    </xf>
    <xf numFmtId="49" fontId="4" fillId="0" borderId="0" xfId="3" applyNumberFormat="1" applyFont="1" applyAlignment="1">
      <alignment horizontal="left" vertical="center"/>
    </xf>
    <xf numFmtId="0" fontId="16" fillId="0" borderId="0" xfId="0" applyFont="1"/>
    <xf numFmtId="49" fontId="16" fillId="0" borderId="0" xfId="0" applyNumberFormat="1" applyFont="1" applyAlignment="1">
      <alignment horizontal="left" vertical="center"/>
    </xf>
    <xf numFmtId="0" fontId="16" fillId="0" borderId="0" xfId="0" applyFont="1" applyAlignment="1">
      <alignment vertical="center"/>
    </xf>
    <xf numFmtId="0" fontId="4" fillId="0" borderId="0" xfId="6" applyFont="1" applyProtection="1"/>
    <xf numFmtId="49" fontId="4" fillId="0" borderId="10" xfId="0" applyNumberFormat="1" applyFont="1" applyBorder="1" applyAlignment="1">
      <alignment horizontal="left" vertical="center" wrapText="1"/>
    </xf>
    <xf numFmtId="0" fontId="4" fillId="0" borderId="22" xfId="0" applyFont="1" applyBorder="1" applyAlignment="1">
      <alignment horizontal="left" vertical="center" wrapText="1"/>
    </xf>
    <xf numFmtId="0" fontId="4" fillId="0" borderId="0" xfId="6" applyFont="1" applyAlignment="1" applyProtection="1">
      <alignment vertical="center"/>
    </xf>
    <xf numFmtId="0" fontId="16" fillId="0" borderId="0" xfId="7" applyFont="1"/>
    <xf numFmtId="0" fontId="2" fillId="2" borderId="1" xfId="0" applyFont="1" applyFill="1" applyBorder="1" applyAlignment="1">
      <alignment vertical="center"/>
    </xf>
    <xf numFmtId="49" fontId="2" fillId="0" borderId="20" xfId="0" applyNumberFormat="1" applyFont="1" applyBorder="1" applyAlignment="1">
      <alignment horizontal="left" vertical="center" wrapText="1"/>
    </xf>
    <xf numFmtId="49" fontId="2" fillId="0" borderId="22" xfId="0" applyNumberFormat="1" applyFont="1" applyBorder="1" applyAlignment="1">
      <alignment horizontal="left" vertical="center" wrapText="1"/>
    </xf>
    <xf numFmtId="49" fontId="5" fillId="0" borderId="0" xfId="0" applyNumberFormat="1" applyFont="1" applyAlignment="1">
      <alignment horizontal="left" vertical="top" wrapText="1"/>
    </xf>
    <xf numFmtId="49" fontId="3" fillId="0" borderId="0" xfId="0" applyNumberFormat="1" applyFont="1" applyAlignment="1">
      <alignment horizontal="left" vertical="top" wrapText="1"/>
    </xf>
    <xf numFmtId="0" fontId="0" fillId="0" borderId="0" xfId="0" applyAlignment="1">
      <alignment vertical="top"/>
    </xf>
    <xf numFmtId="49" fontId="4" fillId="2" borderId="1" xfId="0" applyNumberFormat="1" applyFont="1" applyFill="1" applyBorder="1" applyAlignment="1">
      <alignment horizontal="left" wrapText="1"/>
    </xf>
    <xf numFmtId="166" fontId="2" fillId="0" borderId="26" xfId="0" applyNumberFormat="1" applyFont="1" applyBorder="1" applyAlignment="1">
      <alignment horizontal="left" vertical="center" wrapText="1"/>
    </xf>
    <xf numFmtId="0" fontId="2" fillId="0" borderId="24" xfId="0" applyFont="1" applyBorder="1" applyAlignment="1">
      <alignment horizontal="left" vertical="center" wrapText="1"/>
    </xf>
    <xf numFmtId="0" fontId="2" fillId="0" borderId="22" xfId="0" applyFont="1" applyBorder="1" applyAlignment="1">
      <alignment horizontal="left" wrapText="1"/>
    </xf>
    <xf numFmtId="49" fontId="2" fillId="0" borderId="23" xfId="0" applyNumberFormat="1" applyFont="1" applyBorder="1" applyAlignment="1">
      <alignment horizontal="left" wrapText="1"/>
    </xf>
    <xf numFmtId="0" fontId="4" fillId="2" borderId="1" xfId="0" applyFont="1" applyFill="1" applyBorder="1" applyAlignment="1">
      <alignment horizontal="left" vertical="center" wrapText="1"/>
    </xf>
    <xf numFmtId="0" fontId="4" fillId="2" borderId="1" xfId="0" applyFont="1" applyFill="1" applyBorder="1" applyAlignment="1">
      <alignment horizontal="left" wrapText="1"/>
    </xf>
    <xf numFmtId="0" fontId="4" fillId="2" borderId="1" xfId="0" applyFont="1" applyFill="1" applyBorder="1" applyAlignment="1">
      <alignment horizontal="left" vertical="center"/>
    </xf>
    <xf numFmtId="0" fontId="2" fillId="2" borderId="1" xfId="0" applyFont="1" applyFill="1" applyBorder="1" applyAlignment="1">
      <alignment horizontal="left" vertical="center" wrapText="1"/>
    </xf>
    <xf numFmtId="49" fontId="4" fillId="2" borderId="1" xfId="0" applyNumberFormat="1" applyFont="1" applyFill="1" applyBorder="1" applyAlignment="1">
      <alignment horizontal="left"/>
    </xf>
    <xf numFmtId="0" fontId="2" fillId="2" borderId="1" xfId="0" applyFont="1" applyFill="1" applyBorder="1" applyAlignment="1">
      <alignment horizontal="left" vertical="center"/>
    </xf>
    <xf numFmtId="0" fontId="2" fillId="0" borderId="36" xfId="0" applyFont="1" applyBorder="1" applyAlignment="1">
      <alignment horizontal="left" vertical="center" wrapText="1"/>
    </xf>
    <xf numFmtId="164" fontId="5" fillId="0" borderId="40" xfId="0" applyNumberFormat="1" applyFont="1" applyBorder="1" applyAlignment="1">
      <alignment vertical="center" wrapText="1"/>
    </xf>
    <xf numFmtId="164" fontId="3" fillId="0" borderId="1" xfId="0" applyNumberFormat="1" applyFont="1" applyBorder="1" applyAlignment="1">
      <alignment vertical="center" wrapText="1"/>
    </xf>
    <xf numFmtId="164" fontId="4" fillId="0" borderId="15" xfId="0" applyNumberFormat="1" applyFont="1" applyBorder="1" applyAlignment="1">
      <alignment vertical="center" wrapText="1"/>
    </xf>
    <xf numFmtId="164" fontId="4" fillId="0" borderId="0" xfId="0" applyNumberFormat="1" applyFont="1" applyAlignment="1">
      <alignment vertical="center" wrapText="1"/>
    </xf>
    <xf numFmtId="0" fontId="20" fillId="0" borderId="0" xfId="0" applyFont="1" applyAlignment="1">
      <alignment horizontal="center" vertical="center" wrapText="1"/>
    </xf>
    <xf numFmtId="0" fontId="21" fillId="2" borderId="1" xfId="0" applyFont="1" applyFill="1" applyBorder="1" applyAlignment="1">
      <alignment horizontal="left" vertical="center" wrapText="1"/>
    </xf>
    <xf numFmtId="0" fontId="22" fillId="5" borderId="1" xfId="0" applyFont="1" applyFill="1" applyBorder="1" applyAlignment="1">
      <alignment vertical="center" wrapText="1"/>
    </xf>
    <xf numFmtId="49" fontId="4" fillId="2" borderId="1" xfId="0" applyNumberFormat="1" applyFont="1" applyFill="1" applyBorder="1"/>
    <xf numFmtId="0" fontId="4" fillId="0" borderId="0" xfId="0" applyFont="1" applyAlignment="1">
      <alignment horizontal="left" wrapText="1"/>
    </xf>
    <xf numFmtId="49" fontId="4" fillId="0" borderId="0" xfId="0" applyNumberFormat="1" applyFont="1" applyAlignment="1">
      <alignment horizontal="left"/>
    </xf>
    <xf numFmtId="0" fontId="2" fillId="0" borderId="0" xfId="0" applyFont="1" applyAlignment="1">
      <alignment horizontal="left" vertical="center"/>
    </xf>
    <xf numFmtId="49" fontId="3" fillId="0" borderId="1" xfId="0" applyNumberFormat="1" applyFont="1" applyBorder="1" applyAlignment="1">
      <alignment horizontal="left" vertical="center" wrapText="1"/>
    </xf>
    <xf numFmtId="49" fontId="4" fillId="0" borderId="41" xfId="0" applyNumberFormat="1" applyFont="1" applyBorder="1" applyAlignment="1">
      <alignment horizontal="left" vertical="center" wrapText="1"/>
    </xf>
    <xf numFmtId="0" fontId="0" fillId="0" borderId="42" xfId="0" applyBorder="1" applyAlignment="1">
      <alignment horizontal="left" vertical="center" wrapText="1"/>
    </xf>
    <xf numFmtId="49" fontId="4" fillId="2" borderId="1" xfId="0" applyNumberFormat="1" applyFont="1" applyFill="1" applyBorder="1" applyAlignment="1">
      <alignment horizontal="left" vertical="center"/>
    </xf>
    <xf numFmtId="0" fontId="23" fillId="0" borderId="0" xfId="0" applyFont="1" applyAlignment="1">
      <alignment vertical="center"/>
    </xf>
    <xf numFmtId="0" fontId="3" fillId="2" borderId="0" xfId="0" applyFont="1" applyFill="1" applyAlignment="1">
      <alignment vertical="center" wrapText="1"/>
    </xf>
    <xf numFmtId="49" fontId="2" fillId="2" borderId="0" xfId="0" applyNumberFormat="1" applyFont="1" applyFill="1" applyAlignment="1">
      <alignment horizontal="left" vertical="center" wrapText="1"/>
    </xf>
    <xf numFmtId="164" fontId="4" fillId="0" borderId="43" xfId="0" applyNumberFormat="1" applyFont="1" applyBorder="1" applyAlignment="1">
      <alignment vertical="center" wrapText="1"/>
    </xf>
    <xf numFmtId="0" fontId="5" fillId="2" borderId="1" xfId="0" applyFont="1" applyFill="1" applyBorder="1" applyAlignment="1">
      <alignment vertical="center" wrapText="1"/>
    </xf>
    <xf numFmtId="0" fontId="3" fillId="2" borderId="1" xfId="0" applyFont="1" applyFill="1" applyBorder="1" applyAlignment="1">
      <alignment vertical="center" wrapText="1"/>
    </xf>
    <xf numFmtId="49" fontId="5" fillId="0" borderId="0" xfId="0" applyNumberFormat="1" applyFont="1" applyAlignment="1">
      <alignment horizontal="center" vertical="center" wrapText="1"/>
    </xf>
    <xf numFmtId="49" fontId="2" fillId="0" borderId="35" xfId="0" applyNumberFormat="1" applyFont="1" applyBorder="1" applyAlignment="1">
      <alignment horizontal="left" vertical="center" wrapText="1"/>
    </xf>
    <xf numFmtId="49" fontId="3" fillId="2" borderId="1" xfId="0" applyNumberFormat="1" applyFont="1" applyFill="1" applyBorder="1" applyAlignment="1">
      <alignment vertical="center" wrapText="1"/>
    </xf>
    <xf numFmtId="49" fontId="3" fillId="0" borderId="0" xfId="0" applyNumberFormat="1" applyFont="1" applyAlignment="1">
      <alignment vertical="center" wrapText="1"/>
    </xf>
    <xf numFmtId="0" fontId="3" fillId="2" borderId="1" xfId="0" applyFont="1" applyFill="1" applyBorder="1"/>
    <xf numFmtId="0" fontId="24" fillId="2" borderId="1" xfId="0" applyFont="1" applyFill="1" applyBorder="1" applyAlignment="1">
      <alignment horizontal="left" vertical="center" wrapText="1"/>
    </xf>
    <xf numFmtId="14" fontId="0" fillId="0" borderId="0" xfId="0" applyNumberFormat="1"/>
    <xf numFmtId="0" fontId="0" fillId="0" borderId="32" xfId="0" applyBorder="1" applyAlignment="1">
      <alignment horizontal="left" vertical="center" wrapText="1"/>
    </xf>
    <xf numFmtId="0" fontId="0" fillId="0" borderId="8" xfId="0" applyBorder="1" applyAlignment="1">
      <alignment horizontal="left" vertical="center" wrapText="1"/>
    </xf>
    <xf numFmtId="0" fontId="0" fillId="0" borderId="11" xfId="0" applyBorder="1" applyAlignment="1">
      <alignment horizontal="left" vertical="center" wrapText="1"/>
    </xf>
    <xf numFmtId="0" fontId="0" fillId="0" borderId="1" xfId="0" applyBorder="1" applyAlignment="1">
      <alignment horizontal="left" vertical="center" wrapText="1"/>
    </xf>
    <xf numFmtId="0" fontId="0" fillId="0" borderId="31" xfId="0" applyBorder="1" applyAlignment="1">
      <alignment horizontal="left" vertical="center"/>
    </xf>
    <xf numFmtId="0" fontId="0" fillId="0" borderId="1" xfId="0" applyBorder="1" applyAlignment="1">
      <alignment horizontal="left" vertical="center"/>
    </xf>
    <xf numFmtId="0" fontId="0" fillId="0" borderId="31" xfId="0" applyBorder="1" applyAlignment="1">
      <alignment horizontal="left" vertical="center" wrapText="1"/>
    </xf>
    <xf numFmtId="0" fontId="0" fillId="0" borderId="8" xfId="0" applyBorder="1" applyAlignment="1">
      <alignment horizontal="left" vertical="center"/>
    </xf>
    <xf numFmtId="0" fontId="0" fillId="0" borderId="32" xfId="0" applyBorder="1" applyAlignment="1">
      <alignment horizontal="left" vertical="center"/>
    </xf>
    <xf numFmtId="0" fontId="0" fillId="0" borderId="10" xfId="0" applyBorder="1" applyAlignment="1">
      <alignment horizontal="left" vertical="center" wrapText="1"/>
    </xf>
    <xf numFmtId="0" fontId="0" fillId="0" borderId="13" xfId="0" applyBorder="1" applyAlignment="1">
      <alignment horizontal="left" vertical="center" wrapText="1"/>
    </xf>
    <xf numFmtId="0" fontId="0" fillId="0" borderId="14" xfId="0" applyBorder="1" applyAlignment="1">
      <alignment horizontal="left" vertical="center" wrapText="1"/>
    </xf>
    <xf numFmtId="0" fontId="5" fillId="0" borderId="1" xfId="0" applyFont="1" applyBorder="1" applyAlignment="1">
      <alignment vertical="center" wrapText="1"/>
    </xf>
    <xf numFmtId="0" fontId="4" fillId="2" borderId="1" xfId="0" applyFont="1" applyFill="1" applyBorder="1"/>
    <xf numFmtId="0" fontId="2" fillId="2" borderId="1" xfId="0" applyFont="1" applyFill="1" applyBorder="1"/>
    <xf numFmtId="0" fontId="25" fillId="0" borderId="0" xfId="0" applyFont="1" applyAlignment="1">
      <alignment wrapText="1"/>
    </xf>
    <xf numFmtId="0" fontId="0" fillId="2" borderId="0" xfId="0" applyFill="1"/>
    <xf numFmtId="0" fontId="2" fillId="2" borderId="1" xfId="0" applyFont="1" applyFill="1" applyBorder="1" applyAlignment="1">
      <alignment vertical="center" wrapText="1"/>
    </xf>
    <xf numFmtId="0" fontId="3" fillId="2" borderId="1" xfId="0" applyFont="1" applyFill="1" applyBorder="1" applyAlignment="1">
      <alignment wrapText="1"/>
    </xf>
    <xf numFmtId="0" fontId="3" fillId="2" borderId="0" xfId="0" applyFont="1" applyFill="1"/>
    <xf numFmtId="49" fontId="2" fillId="2" borderId="1" xfId="0" applyNumberFormat="1" applyFont="1" applyFill="1" applyBorder="1" applyAlignment="1">
      <alignment horizontal="left" vertical="center" wrapText="1"/>
    </xf>
    <xf numFmtId="0" fontId="4" fillId="2" borderId="3" xfId="0" applyFont="1" applyFill="1" applyBorder="1" applyAlignment="1">
      <alignment horizontal="left" vertical="center" wrapText="1"/>
    </xf>
    <xf numFmtId="0" fontId="2" fillId="2" borderId="3" xfId="0" applyFont="1" applyFill="1" applyBorder="1" applyAlignment="1">
      <alignment horizontal="left" vertical="center" wrapText="1"/>
    </xf>
    <xf numFmtId="0" fontId="4" fillId="2" borderId="3" xfId="0" applyFont="1" applyFill="1" applyBorder="1" applyAlignment="1">
      <alignment horizontal="left" vertical="center"/>
    </xf>
    <xf numFmtId="0" fontId="0" fillId="2" borderId="1" xfId="0" applyFill="1" applyBorder="1" applyAlignment="1">
      <alignment horizontal="left" vertical="center"/>
    </xf>
    <xf numFmtId="0" fontId="4" fillId="0" borderId="1" xfId="0" applyFont="1" applyBorder="1" applyAlignment="1">
      <alignment vertical="center" wrapText="1"/>
    </xf>
    <xf numFmtId="0" fontId="4" fillId="0" borderId="1" xfId="0" applyFont="1" applyBorder="1" applyAlignment="1">
      <alignment vertical="top"/>
    </xf>
    <xf numFmtId="0" fontId="4" fillId="0" borderId="1" xfId="0" applyFont="1" applyBorder="1"/>
    <xf numFmtId="0" fontId="16" fillId="0" borderId="1" xfId="0" applyFont="1" applyBorder="1"/>
    <xf numFmtId="0" fontId="3" fillId="0" borderId="1" xfId="0" applyFont="1" applyBorder="1"/>
    <xf numFmtId="0" fontId="4" fillId="0" borderId="1" xfId="0" applyFont="1" applyBorder="1" applyAlignment="1">
      <alignment horizontal="left" vertical="center"/>
    </xf>
    <xf numFmtId="0" fontId="3" fillId="0" borderId="0" xfId="0" applyFont="1" applyAlignment="1">
      <alignment horizontal="left" vertical="top" wrapText="1"/>
    </xf>
    <xf numFmtId="49" fontId="4" fillId="2" borderId="3" xfId="0" applyNumberFormat="1" applyFont="1" applyFill="1" applyBorder="1"/>
    <xf numFmtId="49" fontId="5" fillId="0" borderId="20" xfId="0" applyNumberFormat="1" applyFont="1" applyBorder="1" applyAlignment="1">
      <alignment vertical="center" wrapText="1"/>
    </xf>
    <xf numFmtId="0" fontId="0" fillId="0" borderId="1" xfId="0" applyBorder="1"/>
    <xf numFmtId="49" fontId="3" fillId="0" borderId="1" xfId="0" applyNumberFormat="1" applyFont="1" applyBorder="1"/>
    <xf numFmtId="0" fontId="3" fillId="0" borderId="1" xfId="0" applyFont="1" applyBorder="1" applyAlignment="1">
      <alignment vertical="center" wrapText="1"/>
    </xf>
    <xf numFmtId="49" fontId="3" fillId="0" borderId="1" xfId="0" applyNumberFormat="1" applyFont="1" applyBorder="1" applyAlignment="1">
      <alignment vertical="center" wrapText="1"/>
    </xf>
    <xf numFmtId="49" fontId="3" fillId="0" borderId="1" xfId="0" applyNumberFormat="1" applyFont="1" applyBorder="1" applyAlignment="1">
      <alignment horizontal="left" vertical="top" wrapText="1"/>
    </xf>
    <xf numFmtId="0" fontId="4" fillId="0" borderId="0" xfId="0" applyFont="1" applyFill="1" applyAlignment="1">
      <alignment vertical="center"/>
    </xf>
    <xf numFmtId="0" fontId="4" fillId="0" borderId="0" xfId="0" applyFont="1" applyFill="1"/>
    <xf numFmtId="0" fontId="3" fillId="0" borderId="1" xfId="0" applyFont="1" applyFill="1" applyBorder="1" applyAlignment="1">
      <alignment horizontal="left" vertical="center"/>
    </xf>
    <xf numFmtId="49" fontId="17" fillId="0" borderId="0" xfId="0" applyNumberFormat="1" applyFont="1" applyFill="1"/>
    <xf numFmtId="0" fontId="16" fillId="0" borderId="0" xfId="0" applyFont="1" applyFill="1" applyAlignment="1">
      <alignment vertical="center" wrapText="1"/>
    </xf>
    <xf numFmtId="0" fontId="4" fillId="0" borderId="0" xfId="2" applyFont="1" applyFill="1" applyAlignment="1">
      <alignment vertical="top"/>
    </xf>
    <xf numFmtId="0" fontId="0" fillId="0" borderId="0" xfId="0" applyFill="1"/>
    <xf numFmtId="0" fontId="4" fillId="0" borderId="0" xfId="0" applyFont="1" applyFill="1" applyAlignment="1">
      <alignment vertical="top"/>
    </xf>
    <xf numFmtId="0" fontId="16" fillId="0" borderId="0" xfId="7" applyFont="1" applyFill="1"/>
    <xf numFmtId="0" fontId="4" fillId="0" borderId="0" xfId="1" applyFont="1"/>
    <xf numFmtId="0" fontId="4" fillId="0" borderId="0" xfId="5" applyFont="1" applyAlignment="1" applyProtection="1">
      <alignment horizontal="left" vertical="center"/>
    </xf>
    <xf numFmtId="0" fontId="4" fillId="0" borderId="0" xfId="5" applyFont="1" applyProtection="1"/>
    <xf numFmtId="0" fontId="4" fillId="0" borderId="0" xfId="0" applyFont="1" applyAlignment="1">
      <alignment vertical="top" wrapText="1"/>
    </xf>
    <xf numFmtId="0" fontId="3" fillId="0" borderId="31" xfId="0" applyFont="1" applyBorder="1"/>
    <xf numFmtId="0" fontId="4" fillId="0" borderId="0" xfId="0" applyFont="1" applyAlignment="1">
      <alignment horizontal="left" vertical="top"/>
    </xf>
    <xf numFmtId="49" fontId="4" fillId="0" borderId="20" xfId="0" applyNumberFormat="1" applyFont="1" applyBorder="1"/>
    <xf numFmtId="49" fontId="3" fillId="0" borderId="31" xfId="0" applyNumberFormat="1" applyFont="1" applyBorder="1"/>
    <xf numFmtId="49" fontId="3" fillId="0" borderId="0" xfId="0" applyNumberFormat="1" applyFont="1"/>
    <xf numFmtId="49" fontId="2" fillId="0" borderId="3" xfId="0" applyNumberFormat="1" applyFont="1" applyBorder="1" applyAlignment="1">
      <alignment vertical="center"/>
    </xf>
    <xf numFmtId="49" fontId="29" fillId="0" borderId="3" xfId="0" applyNumberFormat="1" applyFont="1" applyBorder="1" applyAlignment="1">
      <alignment vertical="center"/>
    </xf>
    <xf numFmtId="49" fontId="4" fillId="0" borderId="3" xfId="0" applyNumberFormat="1" applyFont="1" applyBorder="1" applyAlignment="1">
      <alignment vertical="center"/>
    </xf>
    <xf numFmtId="49" fontId="4" fillId="0" borderId="3" xfId="0" applyNumberFormat="1" applyFont="1" applyBorder="1" applyAlignment="1">
      <alignment vertical="center" wrapText="1"/>
    </xf>
    <xf numFmtId="49" fontId="4" fillId="0" borderId="3" xfId="0" applyNumberFormat="1" applyFont="1" applyFill="1" applyBorder="1" applyAlignment="1">
      <alignment vertical="center"/>
    </xf>
    <xf numFmtId="49" fontId="3" fillId="0" borderId="3" xfId="0" applyNumberFormat="1" applyFont="1" applyFill="1" applyBorder="1" applyAlignment="1">
      <alignment vertical="center"/>
    </xf>
    <xf numFmtId="49" fontId="3" fillId="0" borderId="3" xfId="0" applyNumberFormat="1" applyFont="1" applyFill="1" applyBorder="1" applyAlignment="1">
      <alignment vertical="center" wrapText="1"/>
    </xf>
    <xf numFmtId="0" fontId="13" fillId="0" borderId="1" xfId="0" applyFont="1" applyBorder="1"/>
    <xf numFmtId="0" fontId="13" fillId="6" borderId="1" xfId="0" applyFont="1" applyFill="1" applyBorder="1"/>
    <xf numFmtId="0" fontId="13" fillId="0" borderId="1" xfId="0" quotePrefix="1" applyFont="1" applyBorder="1"/>
    <xf numFmtId="0" fontId="11" fillId="0" borderId="1" xfId="0" applyFont="1" applyBorder="1"/>
    <xf numFmtId="0" fontId="11" fillId="6" borderId="1" xfId="0" applyFont="1" applyFill="1" applyBorder="1"/>
    <xf numFmtId="0" fontId="11" fillId="0" borderId="0" xfId="0" applyFont="1"/>
    <xf numFmtId="0" fontId="13" fillId="0" borderId="1" xfId="0" applyFont="1" applyFill="1" applyBorder="1"/>
    <xf numFmtId="0" fontId="4" fillId="0" borderId="44" xfId="0" applyFont="1" applyBorder="1"/>
    <xf numFmtId="0" fontId="2" fillId="0" borderId="44" xfId="0" applyFont="1" applyBorder="1"/>
    <xf numFmtId="0" fontId="3" fillId="0" borderId="1" xfId="0" quotePrefix="1" applyFont="1" applyBorder="1"/>
    <xf numFmtId="0" fontId="3" fillId="0" borderId="1" xfId="0" applyFont="1" applyFill="1" applyBorder="1"/>
    <xf numFmtId="0" fontId="5" fillId="0" borderId="1" xfId="0" applyFont="1" applyBorder="1"/>
    <xf numFmtId="0" fontId="5" fillId="0" borderId="1" xfId="0" applyFont="1" applyBorder="1" applyAlignment="1">
      <alignment wrapText="1"/>
    </xf>
    <xf numFmtId="49" fontId="30" fillId="0" borderId="0" xfId="0" applyNumberFormat="1" applyFont="1"/>
    <xf numFmtId="0" fontId="29" fillId="0" borderId="1" xfId="0" applyFont="1" applyBorder="1" applyAlignment="1"/>
    <xf numFmtId="0" fontId="16" fillId="0" borderId="1" xfId="0" applyFont="1" applyBorder="1" applyAlignment="1"/>
    <xf numFmtId="0" fontId="5" fillId="0" borderId="0" xfId="0" applyFont="1" applyAlignment="1">
      <alignment wrapText="1"/>
    </xf>
    <xf numFmtId="0" fontId="2" fillId="0" borderId="1" xfId="0" applyFont="1" applyBorder="1" applyAlignment="1"/>
    <xf numFmtId="0" fontId="29" fillId="0" borderId="44" xfId="0" applyFont="1" applyBorder="1" applyAlignment="1"/>
    <xf numFmtId="0" fontId="16" fillId="0" borderId="44" xfId="0" applyFont="1" applyBorder="1" applyAlignment="1"/>
    <xf numFmtId="0" fontId="4" fillId="0" borderId="1" xfId="0" applyFont="1" applyBorder="1" applyAlignment="1"/>
    <xf numFmtId="0" fontId="4" fillId="0" borderId="0" xfId="0" applyFont="1" applyAlignment="1"/>
    <xf numFmtId="0" fontId="18" fillId="4" borderId="20" xfId="0" applyFont="1" applyFill="1" applyBorder="1" applyAlignment="1">
      <alignment horizontal="center"/>
    </xf>
    <xf numFmtId="0" fontId="3" fillId="0" borderId="19" xfId="0" applyFont="1" applyBorder="1" applyAlignment="1">
      <alignment horizontal="center" vertical="center" wrapText="1"/>
    </xf>
    <xf numFmtId="0" fontId="3" fillId="0" borderId="20" xfId="0" applyFont="1" applyBorder="1" applyAlignment="1">
      <alignment horizontal="center" vertical="center" wrapText="1"/>
    </xf>
    <xf numFmtId="0" fontId="6" fillId="0" borderId="4" xfId="0" applyFont="1" applyBorder="1" applyAlignment="1">
      <alignment horizontal="center" vertical="center" wrapText="1"/>
    </xf>
    <xf numFmtId="0" fontId="6" fillId="0" borderId="5" xfId="0" applyFont="1" applyBorder="1" applyAlignment="1">
      <alignment horizontal="center" vertical="center" wrapText="1"/>
    </xf>
    <xf numFmtId="0" fontId="6" fillId="0" borderId="6" xfId="0" applyFont="1" applyBorder="1" applyAlignment="1">
      <alignment horizontal="center" vertical="center" wrapText="1"/>
    </xf>
    <xf numFmtId="0" fontId="7" fillId="0" borderId="28" xfId="0" applyFont="1" applyBorder="1" applyAlignment="1">
      <alignment horizontal="center" vertical="center" wrapText="1"/>
    </xf>
    <xf numFmtId="0" fontId="7" fillId="0" borderId="7" xfId="0" applyFont="1" applyBorder="1" applyAlignment="1">
      <alignment horizontal="center" vertical="center" wrapText="1"/>
    </xf>
    <xf numFmtId="0" fontId="7" fillId="0" borderId="33" xfId="0" applyFont="1" applyBorder="1" applyAlignment="1">
      <alignment horizontal="center" vertical="center" wrapText="1"/>
    </xf>
    <xf numFmtId="0" fontId="7" fillId="0" borderId="34" xfId="0" applyFont="1" applyBorder="1" applyAlignment="1">
      <alignment horizontal="center" vertical="center" wrapText="1"/>
    </xf>
    <xf numFmtId="0" fontId="5" fillId="0" borderId="30" xfId="0" applyFont="1" applyBorder="1" applyAlignment="1">
      <alignment horizontal="left" vertical="center" wrapText="1"/>
    </xf>
    <xf numFmtId="0" fontId="0" fillId="0" borderId="34" xfId="0" applyBorder="1" applyAlignment="1">
      <alignment horizontal="left" vertical="center" wrapText="1"/>
    </xf>
    <xf numFmtId="0" fontId="2" fillId="0" borderId="30" xfId="0" applyFont="1" applyBorder="1" applyAlignment="1">
      <alignment horizontal="left" vertical="center" wrapText="1"/>
    </xf>
    <xf numFmtId="49" fontId="2" fillId="0" borderId="30" xfId="0" applyNumberFormat="1" applyFont="1" applyBorder="1" applyAlignment="1">
      <alignment horizontal="left" vertical="center" wrapText="1"/>
    </xf>
    <xf numFmtId="0" fontId="5" fillId="0" borderId="39" xfId="0" applyFont="1" applyBorder="1" applyAlignment="1">
      <alignment horizontal="left" vertical="center" wrapText="1"/>
    </xf>
    <xf numFmtId="0" fontId="0" fillId="0" borderId="0" xfId="0" applyAlignment="1">
      <alignment horizontal="left" vertical="center" wrapText="1"/>
    </xf>
    <xf numFmtId="0" fontId="0" fillId="0" borderId="18" xfId="0" applyBorder="1" applyAlignment="1">
      <alignment horizontal="left" vertical="center" wrapText="1"/>
    </xf>
    <xf numFmtId="49" fontId="2" fillId="0" borderId="39" xfId="0" applyNumberFormat="1" applyFont="1" applyBorder="1" applyAlignment="1">
      <alignment horizontal="left" vertical="center" wrapText="1"/>
    </xf>
    <xf numFmtId="0" fontId="0" fillId="0" borderId="0" xfId="0" applyAlignment="1">
      <alignment horizontal="left" vertical="center"/>
    </xf>
    <xf numFmtId="0" fontId="0" fillId="0" borderId="18" xfId="0" applyBorder="1" applyAlignment="1">
      <alignment horizontal="left" vertical="center"/>
    </xf>
    <xf numFmtId="49" fontId="2" fillId="0" borderId="39" xfId="0" applyNumberFormat="1" applyFont="1" applyBorder="1" applyAlignment="1">
      <alignment horizontal="left" vertical="center"/>
    </xf>
    <xf numFmtId="49" fontId="5" fillId="0" borderId="39" xfId="0" applyNumberFormat="1" applyFont="1" applyBorder="1" applyAlignment="1">
      <alignment horizontal="left" vertical="center" wrapText="1"/>
    </xf>
    <xf numFmtId="0" fontId="6" fillId="0" borderId="12" xfId="0" applyFont="1" applyBorder="1" applyAlignment="1">
      <alignment horizontal="center" vertical="center" wrapText="1"/>
    </xf>
    <xf numFmtId="0" fontId="6" fillId="0" borderId="13" xfId="0" applyFont="1" applyBorder="1" applyAlignment="1">
      <alignment horizontal="center" vertical="center" wrapText="1"/>
    </xf>
    <xf numFmtId="0" fontId="6" fillId="0" borderId="14" xfId="0" applyFont="1" applyBorder="1" applyAlignment="1">
      <alignment horizontal="center" vertical="center" wrapText="1"/>
    </xf>
    <xf numFmtId="49" fontId="7" fillId="0" borderId="2" xfId="0" applyNumberFormat="1" applyFont="1" applyBorder="1" applyAlignment="1">
      <alignment horizontal="center" vertical="center" wrapText="1"/>
    </xf>
    <xf numFmtId="49" fontId="7" fillId="0" borderId="1" xfId="0" applyNumberFormat="1" applyFont="1" applyBorder="1" applyAlignment="1">
      <alignment horizontal="center" vertical="center" wrapText="1"/>
    </xf>
    <xf numFmtId="49" fontId="7" fillId="0" borderId="31" xfId="0" applyNumberFormat="1" applyFont="1" applyBorder="1" applyAlignment="1">
      <alignment horizontal="center" vertical="center" wrapText="1"/>
    </xf>
    <xf numFmtId="49" fontId="7" fillId="0" borderId="32" xfId="0" applyNumberFormat="1" applyFont="1" applyBorder="1" applyAlignment="1">
      <alignment horizontal="center" vertical="center" wrapText="1"/>
    </xf>
  </cellXfs>
  <cellStyles count="11">
    <cellStyle name="Normal" xfId="0" builtinId="0"/>
    <cellStyle name="Normal 2" xfId="1"/>
    <cellStyle name="Normal 2 2" xfId="5"/>
    <cellStyle name="Normal 3" xfId="2"/>
    <cellStyle name="Normal 3 2" xfId="4"/>
    <cellStyle name="Normal 4" xfId="3"/>
    <cellStyle name="Normal 4 2" xfId="6"/>
    <cellStyle name="Normal 5" xfId="7"/>
    <cellStyle name="Normal 6" xfId="8"/>
    <cellStyle name="Normal 7" xfId="9"/>
    <cellStyle name="Normal 8" xfId="1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sheetPr codeName="Sheet3"/>
  <dimension ref="A2:I76"/>
  <sheetViews>
    <sheetView topLeftCell="A28" zoomScale="80" zoomScaleNormal="80" workbookViewId="0">
      <selection activeCell="C14" sqref="C14"/>
    </sheetView>
  </sheetViews>
  <sheetFormatPr defaultRowHeight="15"/>
  <cols>
    <col min="1" max="1" width="19.81640625" style="35" bestFit="1" customWidth="1"/>
    <col min="2" max="2" width="41.7265625" style="6" bestFit="1" customWidth="1"/>
    <col min="3" max="3" width="80.453125" style="129" bestFit="1" customWidth="1"/>
    <col min="4" max="4" width="14.1796875" style="2" bestFit="1" customWidth="1"/>
    <col min="5" max="5" width="6.81640625" style="167" customWidth="1"/>
    <col min="7" max="7" width="10.453125" customWidth="1"/>
  </cols>
  <sheetData>
    <row r="2" spans="1:8" ht="25.5" thickBot="1">
      <c r="A2" s="60"/>
      <c r="B2" s="61"/>
      <c r="C2" s="128"/>
      <c r="D2" s="147" t="s">
        <v>969</v>
      </c>
      <c r="E2" s="164"/>
    </row>
    <row r="3" spans="1:8" ht="30">
      <c r="A3" s="143" t="s">
        <v>91</v>
      </c>
      <c r="B3" s="127" t="s">
        <v>130</v>
      </c>
      <c r="C3" s="133" t="s">
        <v>1100</v>
      </c>
      <c r="D3" s="142" t="s">
        <v>88</v>
      </c>
      <c r="E3" s="165" t="s">
        <v>89</v>
      </c>
    </row>
    <row r="4" spans="1:8" ht="15.5">
      <c r="A4" s="112">
        <f>'Edit Translations'!B1+IF(WEEKDAY('Edit Translations'!B1)&gt;1,8,1)-WEEKDAY('Edit Translations'!B1)</f>
        <v>46026</v>
      </c>
      <c r="B4" s="139"/>
      <c r="C4" s="136"/>
      <c r="D4" s="150" t="s">
        <v>609</v>
      </c>
      <c r="E4" s="140" t="s">
        <v>595</v>
      </c>
    </row>
    <row r="5" spans="1:8" ht="15.5">
      <c r="A5" s="112">
        <f>A$4+7*(ROW(A5)-4)</f>
        <v>46033</v>
      </c>
      <c r="B5" s="162"/>
      <c r="C5" s="139"/>
      <c r="D5" s="150" t="s">
        <v>610</v>
      </c>
      <c r="E5" s="140" t="s">
        <v>595</v>
      </c>
    </row>
    <row r="6" spans="1:8" ht="15.5">
      <c r="A6" s="112">
        <f t="shared" ref="A6:A29" si="0">A$4+7*(ROW(A6)-4)</f>
        <v>46040</v>
      </c>
      <c r="B6" s="141"/>
      <c r="C6" s="136"/>
      <c r="D6" s="150" t="s">
        <v>610</v>
      </c>
      <c r="E6" s="140" t="s">
        <v>1093</v>
      </c>
    </row>
    <row r="7" spans="1:8" ht="15.5">
      <c r="A7" s="112">
        <f t="shared" si="0"/>
        <v>46047</v>
      </c>
      <c r="B7" s="188"/>
      <c r="C7" s="136"/>
      <c r="D7" s="150" t="s">
        <v>610</v>
      </c>
      <c r="E7" s="140" t="s">
        <v>599</v>
      </c>
    </row>
    <row r="8" spans="1:8" ht="37.5" customHeight="1">
      <c r="A8" s="112">
        <f t="shared" si="0"/>
        <v>46054</v>
      </c>
      <c r="B8" s="188" t="s">
        <v>1150</v>
      </c>
      <c r="C8" s="136" t="s">
        <v>1545</v>
      </c>
      <c r="D8" s="157"/>
      <c r="E8" s="62"/>
      <c r="G8" s="170"/>
    </row>
    <row r="9" spans="1:8" s="130" customFormat="1">
      <c r="A9" s="112">
        <f t="shared" si="0"/>
        <v>46061</v>
      </c>
      <c r="B9" s="141"/>
      <c r="C9" s="136"/>
      <c r="D9" s="150" t="s">
        <v>610</v>
      </c>
      <c r="E9" s="140" t="s">
        <v>596</v>
      </c>
    </row>
    <row r="10" spans="1:8" ht="15.5">
      <c r="A10" s="112">
        <f t="shared" si="0"/>
        <v>46068</v>
      </c>
      <c r="B10" s="141"/>
      <c r="C10" s="136"/>
      <c r="D10" s="150" t="s">
        <v>610</v>
      </c>
      <c r="E10" s="140" t="s">
        <v>597</v>
      </c>
    </row>
    <row r="11" spans="1:8" ht="36.9" customHeight="1">
      <c r="A11" s="112">
        <f t="shared" si="0"/>
        <v>46075</v>
      </c>
      <c r="B11" s="162" t="s">
        <v>1297</v>
      </c>
      <c r="C11" s="136" t="s">
        <v>1748</v>
      </c>
      <c r="D11" s="157"/>
      <c r="E11" s="62"/>
    </row>
    <row r="12" spans="1:8" ht="15.5">
      <c r="A12" s="112">
        <f t="shared" si="0"/>
        <v>46082</v>
      </c>
      <c r="B12" s="141"/>
      <c r="C12" s="136"/>
      <c r="D12" s="150" t="s">
        <v>610</v>
      </c>
      <c r="E12" s="140" t="s">
        <v>1094</v>
      </c>
    </row>
    <row r="13" spans="1:8" ht="15.5">
      <c r="A13" s="112">
        <f t="shared" si="0"/>
        <v>46089</v>
      </c>
      <c r="B13" s="139"/>
      <c r="C13" s="136"/>
      <c r="D13" s="150" t="s">
        <v>610</v>
      </c>
      <c r="E13" s="140" t="s">
        <v>984</v>
      </c>
      <c r="G13" s="82"/>
      <c r="H13" s="8"/>
    </row>
    <row r="14" spans="1:8" ht="36.9" customHeight="1">
      <c r="A14" s="112">
        <f t="shared" si="0"/>
        <v>46096</v>
      </c>
      <c r="B14" s="162" t="s">
        <v>1304</v>
      </c>
      <c r="C14" s="136" t="s">
        <v>1467</v>
      </c>
      <c r="D14" s="163"/>
      <c r="E14" s="166"/>
      <c r="G14" s="98"/>
      <c r="H14" s="8"/>
    </row>
    <row r="15" spans="1:8" ht="15.5">
      <c r="A15" s="112">
        <f t="shared" si="0"/>
        <v>46103</v>
      </c>
      <c r="B15" s="139"/>
      <c r="C15" s="62"/>
      <c r="D15" s="150" t="s">
        <v>610</v>
      </c>
      <c r="E15" s="140" t="s">
        <v>598</v>
      </c>
      <c r="G15" s="82"/>
      <c r="H15" s="8"/>
    </row>
    <row r="16" spans="1:8" ht="17.399999999999999" customHeight="1">
      <c r="A16" s="112">
        <f>A$4+7*(ROW(A16)-4)</f>
        <v>46110</v>
      </c>
      <c r="B16" s="139"/>
      <c r="C16" s="62"/>
      <c r="D16" s="150" t="s">
        <v>610</v>
      </c>
      <c r="E16" s="140" t="s">
        <v>1007</v>
      </c>
      <c r="G16" s="82"/>
      <c r="H16" s="8"/>
    </row>
    <row r="17" spans="1:9" ht="33.9" customHeight="1">
      <c r="A17" s="112">
        <f t="shared" si="0"/>
        <v>46117</v>
      </c>
      <c r="B17" s="139" t="s">
        <v>1420</v>
      </c>
      <c r="C17" s="136" t="s">
        <v>1551</v>
      </c>
      <c r="D17" s="163"/>
      <c r="E17" s="166"/>
      <c r="G17" s="98"/>
      <c r="H17" s="95"/>
    </row>
    <row r="18" spans="1:9" ht="15.5">
      <c r="A18" s="112">
        <f t="shared" si="0"/>
        <v>46124</v>
      </c>
      <c r="B18" s="139"/>
      <c r="C18" s="62"/>
      <c r="D18" s="150" t="s">
        <v>610</v>
      </c>
      <c r="E18" s="140" t="s">
        <v>1008</v>
      </c>
      <c r="G18" s="82"/>
      <c r="H18" s="8"/>
      <c r="I18" s="6"/>
    </row>
    <row r="19" spans="1:9" ht="15.5">
      <c r="A19" s="112">
        <f t="shared" si="0"/>
        <v>46131</v>
      </c>
      <c r="B19" s="139"/>
      <c r="C19" s="62"/>
      <c r="D19" s="150" t="s">
        <v>610</v>
      </c>
      <c r="E19" s="140" t="s">
        <v>1095</v>
      </c>
      <c r="G19" s="82"/>
      <c r="H19" s="8"/>
    </row>
    <row r="20" spans="1:9" ht="38.15" customHeight="1">
      <c r="A20" s="112">
        <f t="shared" si="0"/>
        <v>46138</v>
      </c>
      <c r="B20" s="162" t="s">
        <v>1250</v>
      </c>
      <c r="C20" s="136" t="s">
        <v>1547</v>
      </c>
      <c r="D20" s="163"/>
      <c r="E20" s="166"/>
      <c r="G20" s="82"/>
      <c r="H20" s="8"/>
    </row>
    <row r="21" spans="1:9" ht="15.5">
      <c r="A21" s="112">
        <f t="shared" si="0"/>
        <v>46145</v>
      </c>
      <c r="B21" s="139"/>
      <c r="C21" s="148"/>
      <c r="D21" s="150" t="s">
        <v>610</v>
      </c>
      <c r="E21" s="140" t="s">
        <v>1096</v>
      </c>
    </row>
    <row r="22" spans="1:9" ht="15.5">
      <c r="A22" s="112">
        <f t="shared" si="0"/>
        <v>46152</v>
      </c>
      <c r="B22" s="139"/>
      <c r="C22" s="62"/>
      <c r="D22" s="150" t="s">
        <v>610</v>
      </c>
      <c r="E22" s="140" t="s">
        <v>1097</v>
      </c>
    </row>
    <row r="23" spans="1:9" ht="30" customHeight="1">
      <c r="A23" s="112">
        <f t="shared" si="0"/>
        <v>46159</v>
      </c>
      <c r="B23" s="162" t="s">
        <v>1421</v>
      </c>
      <c r="C23" s="136" t="s">
        <v>1699</v>
      </c>
      <c r="D23" s="150"/>
      <c r="E23" s="62"/>
    </row>
    <row r="24" spans="1:9" ht="15.5">
      <c r="A24" s="112">
        <f t="shared" si="0"/>
        <v>46166</v>
      </c>
      <c r="B24" s="139"/>
      <c r="C24" s="148"/>
      <c r="D24" s="150" t="s">
        <v>610</v>
      </c>
      <c r="E24" s="140" t="s">
        <v>1132</v>
      </c>
      <c r="G24" s="98"/>
      <c r="H24" s="95"/>
    </row>
    <row r="25" spans="1:9" ht="15.5">
      <c r="A25" s="112">
        <f t="shared" si="0"/>
        <v>46173</v>
      </c>
      <c r="B25" s="139"/>
      <c r="C25" s="136"/>
      <c r="D25" s="150" t="s">
        <v>610</v>
      </c>
      <c r="E25" s="140" t="s">
        <v>1133</v>
      </c>
    </row>
    <row r="26" spans="1:9" ht="34.5" customHeight="1">
      <c r="A26" s="112">
        <f t="shared" si="0"/>
        <v>46180</v>
      </c>
      <c r="B26" s="162" t="s">
        <v>1172</v>
      </c>
      <c r="C26" s="136" t="s">
        <v>1552</v>
      </c>
      <c r="D26" s="150"/>
      <c r="E26" s="62"/>
    </row>
    <row r="27" spans="1:9" ht="15.5">
      <c r="A27" s="112">
        <f t="shared" si="0"/>
        <v>46187</v>
      </c>
      <c r="B27" s="149"/>
      <c r="C27" s="136"/>
      <c r="D27" s="150" t="s">
        <v>610</v>
      </c>
      <c r="E27" s="140" t="s">
        <v>1134</v>
      </c>
    </row>
    <row r="28" spans="1:9" ht="15.5">
      <c r="A28" s="112">
        <f t="shared" si="0"/>
        <v>46194</v>
      </c>
      <c r="B28" s="149"/>
      <c r="C28" s="136"/>
      <c r="D28" s="150" t="s">
        <v>610</v>
      </c>
      <c r="E28" s="140" t="s">
        <v>1098</v>
      </c>
    </row>
    <row r="29" spans="1:9" ht="32.15" customHeight="1">
      <c r="A29" s="112">
        <f t="shared" si="0"/>
        <v>46201</v>
      </c>
      <c r="B29" s="162" t="s">
        <v>1294</v>
      </c>
      <c r="C29" s="136" t="s">
        <v>1541</v>
      </c>
      <c r="D29" s="150"/>
      <c r="E29" s="62"/>
    </row>
    <row r="30" spans="1:9" ht="15.5">
      <c r="A30" s="112" t="str">
        <f>IF(MONTH(A$4+7*(ROW(A30)-4))=MONTH(A29), A$4+7*(ROW(A30)-4),"")</f>
        <v/>
      </c>
      <c r="B30" s="205"/>
      <c r="C30" s="200"/>
      <c r="D30" s="200"/>
      <c r="E30" s="206"/>
    </row>
    <row r="31" spans="1:9">
      <c r="A31" s="144"/>
      <c r="B31" s="183"/>
      <c r="C31" s="92"/>
      <c r="D31" s="207"/>
      <c r="E31" s="208"/>
    </row>
    <row r="32" spans="1:9">
      <c r="A32" s="144"/>
      <c r="B32" s="183"/>
      <c r="C32" s="209"/>
      <c r="D32" s="207"/>
      <c r="E32" s="208"/>
    </row>
    <row r="33" spans="1:6">
      <c r="A33" s="144"/>
      <c r="B33" s="183"/>
      <c r="C33" s="209"/>
      <c r="D33" s="207"/>
      <c r="E33" s="208"/>
    </row>
    <row r="34" spans="1:6" ht="15.5">
      <c r="A34" s="144">
        <f>IF(MONTH(A$4+7*(ROW(A30)-4))=MONTH(A29), A$30+7,A$29+7)</f>
        <v>46208</v>
      </c>
      <c r="B34" s="125"/>
      <c r="C34" s="136"/>
      <c r="D34" s="150" t="s">
        <v>610</v>
      </c>
      <c r="E34" s="140" t="s">
        <v>1099</v>
      </c>
      <c r="F34" s="187"/>
    </row>
    <row r="35" spans="1:6" ht="15.5">
      <c r="A35" s="112">
        <f>A$34+7*(ROW(A35)-34)</f>
        <v>46215</v>
      </c>
      <c r="B35" s="125"/>
      <c r="C35" s="136"/>
      <c r="D35" s="150" t="s">
        <v>610</v>
      </c>
      <c r="E35" s="140" t="s">
        <v>1135</v>
      </c>
      <c r="F35" s="187"/>
    </row>
    <row r="36" spans="1:6" ht="34.5" customHeight="1">
      <c r="A36" s="112">
        <f t="shared" ref="A36:A58" si="1">A$34+7*(ROW(A36)-34)</f>
        <v>46222</v>
      </c>
      <c r="B36" s="162" t="s">
        <v>1266</v>
      </c>
      <c r="C36" s="163" t="s">
        <v>1548</v>
      </c>
      <c r="D36" s="150"/>
      <c r="E36" s="62"/>
      <c r="F36" s="187"/>
    </row>
    <row r="37" spans="1:6" ht="15.5">
      <c r="A37" s="161">
        <f t="shared" si="1"/>
        <v>46229</v>
      </c>
      <c r="B37" s="139"/>
      <c r="C37" s="139"/>
      <c r="D37" s="150" t="s">
        <v>610</v>
      </c>
      <c r="E37" s="140" t="s">
        <v>1136</v>
      </c>
      <c r="F37" s="187"/>
    </row>
    <row r="38" spans="1:6" ht="15.5">
      <c r="A38" s="112">
        <f t="shared" si="1"/>
        <v>46236</v>
      </c>
      <c r="B38" s="139"/>
      <c r="C38" s="136"/>
      <c r="D38" s="150" t="s">
        <v>610</v>
      </c>
      <c r="E38" s="150" t="s">
        <v>692</v>
      </c>
      <c r="F38" s="187"/>
    </row>
    <row r="39" spans="1:6" ht="15.5">
      <c r="A39" s="112">
        <f t="shared" si="1"/>
        <v>46243</v>
      </c>
      <c r="B39" s="139"/>
      <c r="C39" s="136"/>
      <c r="D39" s="150" t="s">
        <v>610</v>
      </c>
      <c r="E39" s="150" t="s">
        <v>987</v>
      </c>
      <c r="F39" s="187"/>
    </row>
    <row r="40" spans="1:6" ht="15.5">
      <c r="A40" s="112">
        <f t="shared" si="1"/>
        <v>46250</v>
      </c>
      <c r="B40" s="139"/>
      <c r="C40" s="136"/>
      <c r="D40" s="150" t="s">
        <v>611</v>
      </c>
      <c r="E40" s="150" t="s">
        <v>1137</v>
      </c>
      <c r="F40" s="187"/>
    </row>
    <row r="41" spans="1:6" ht="15.5">
      <c r="A41" s="112">
        <f t="shared" si="1"/>
        <v>46257</v>
      </c>
      <c r="B41" s="139"/>
      <c r="C41" s="136"/>
      <c r="D41" s="150" t="s">
        <v>611</v>
      </c>
      <c r="E41" s="150" t="s">
        <v>599</v>
      </c>
      <c r="F41" s="187"/>
    </row>
    <row r="42" spans="1:6" ht="15.5">
      <c r="A42" s="112">
        <f t="shared" si="1"/>
        <v>46264</v>
      </c>
      <c r="B42" s="139"/>
      <c r="C42" s="136"/>
      <c r="D42" s="150" t="s">
        <v>611</v>
      </c>
      <c r="E42" s="150" t="s">
        <v>596</v>
      </c>
      <c r="F42" s="187"/>
    </row>
    <row r="43" spans="1:6" ht="15.5">
      <c r="A43" s="112">
        <f t="shared" si="1"/>
        <v>46271</v>
      </c>
      <c r="B43" s="139"/>
      <c r="C43" s="136"/>
      <c r="D43" s="150" t="s">
        <v>611</v>
      </c>
      <c r="E43" s="150" t="s">
        <v>597</v>
      </c>
      <c r="F43" s="187"/>
    </row>
    <row r="44" spans="1:6" ht="15.5">
      <c r="A44" s="112">
        <f t="shared" si="1"/>
        <v>46278</v>
      </c>
      <c r="B44" s="141"/>
      <c r="C44" s="136"/>
      <c r="D44" s="150" t="s">
        <v>611</v>
      </c>
      <c r="E44" s="150" t="s">
        <v>1094</v>
      </c>
      <c r="F44" s="187"/>
    </row>
    <row r="45" spans="1:6" ht="38.15" customHeight="1">
      <c r="A45" s="112">
        <f t="shared" si="1"/>
        <v>46285</v>
      </c>
      <c r="B45" s="139" t="s">
        <v>1151</v>
      </c>
      <c r="C45" s="136" t="s">
        <v>1596</v>
      </c>
      <c r="D45" s="136"/>
      <c r="E45" s="62"/>
      <c r="F45" s="187"/>
    </row>
    <row r="46" spans="1:6" ht="15.5">
      <c r="A46" s="112">
        <f t="shared" si="1"/>
        <v>46292</v>
      </c>
      <c r="B46" s="139"/>
      <c r="C46" s="136"/>
      <c r="D46" s="150" t="s">
        <v>611</v>
      </c>
      <c r="E46" s="150" t="s">
        <v>984</v>
      </c>
      <c r="F46" s="187"/>
    </row>
    <row r="47" spans="1:6" ht="15.5">
      <c r="A47" s="112">
        <f t="shared" si="1"/>
        <v>46299</v>
      </c>
      <c r="B47" s="141"/>
      <c r="C47" s="136"/>
      <c r="D47" s="150" t="s">
        <v>611</v>
      </c>
      <c r="E47" s="150" t="s">
        <v>598</v>
      </c>
      <c r="F47" s="187"/>
    </row>
    <row r="48" spans="1:6" ht="32.4" customHeight="1">
      <c r="A48" s="112">
        <f t="shared" si="1"/>
        <v>46306</v>
      </c>
      <c r="B48" s="139" t="s">
        <v>1152</v>
      </c>
      <c r="C48" s="136" t="s">
        <v>1554</v>
      </c>
      <c r="D48" s="136"/>
      <c r="E48" s="62"/>
      <c r="F48" s="187"/>
    </row>
    <row r="49" spans="1:6" ht="15.5">
      <c r="A49" s="112">
        <f t="shared" si="1"/>
        <v>46313</v>
      </c>
      <c r="B49" s="139"/>
      <c r="C49" s="136"/>
      <c r="D49" s="150" t="s">
        <v>611</v>
      </c>
      <c r="E49" s="150" t="s">
        <v>1007</v>
      </c>
      <c r="F49" s="187"/>
    </row>
    <row r="50" spans="1:6" ht="15.5">
      <c r="A50" s="112">
        <f t="shared" si="1"/>
        <v>46320</v>
      </c>
      <c r="B50" s="141"/>
      <c r="C50" s="136"/>
      <c r="D50" s="150" t="s">
        <v>611</v>
      </c>
      <c r="E50" s="150" t="s">
        <v>1008</v>
      </c>
      <c r="F50" s="187"/>
    </row>
    <row r="51" spans="1:6" ht="32.4" customHeight="1">
      <c r="A51" s="112">
        <f t="shared" si="1"/>
        <v>46327</v>
      </c>
      <c r="B51" s="160" t="s">
        <v>1251</v>
      </c>
      <c r="C51" s="136" t="s">
        <v>1595</v>
      </c>
      <c r="D51" s="136"/>
      <c r="E51" s="62"/>
      <c r="F51" s="187"/>
    </row>
    <row r="52" spans="1:6" ht="15.5">
      <c r="A52" s="112">
        <f t="shared" si="1"/>
        <v>46334</v>
      </c>
      <c r="B52" s="139"/>
      <c r="C52" s="136"/>
      <c r="D52" s="150" t="s">
        <v>611</v>
      </c>
      <c r="E52" s="150" t="s">
        <v>1095</v>
      </c>
      <c r="F52" s="187"/>
    </row>
    <row r="53" spans="1:6" ht="15.5">
      <c r="A53" s="112">
        <f t="shared" si="1"/>
        <v>46341</v>
      </c>
      <c r="B53" s="141"/>
      <c r="C53" s="136"/>
      <c r="D53" s="150" t="s">
        <v>611</v>
      </c>
      <c r="E53" s="150" t="s">
        <v>1096</v>
      </c>
      <c r="F53" s="187"/>
    </row>
    <row r="54" spans="1:6" ht="15.5">
      <c r="A54" s="112">
        <f t="shared" si="1"/>
        <v>46348</v>
      </c>
      <c r="B54" s="139"/>
      <c r="C54" s="136"/>
      <c r="D54" s="150" t="s">
        <v>611</v>
      </c>
      <c r="E54" s="150" t="s">
        <v>1097</v>
      </c>
      <c r="F54" s="187"/>
    </row>
    <row r="55" spans="1:6" ht="15.5">
      <c r="A55" s="112">
        <f t="shared" si="1"/>
        <v>46355</v>
      </c>
      <c r="B55" s="139"/>
      <c r="C55" s="136"/>
      <c r="D55" s="150" t="s">
        <v>611</v>
      </c>
      <c r="E55" s="150" t="s">
        <v>1132</v>
      </c>
      <c r="F55" s="187"/>
    </row>
    <row r="56" spans="1:6" ht="15.5">
      <c r="A56" s="112">
        <f t="shared" si="1"/>
        <v>46362</v>
      </c>
      <c r="B56" s="141"/>
      <c r="C56" s="136"/>
      <c r="D56" s="150" t="s">
        <v>611</v>
      </c>
      <c r="E56" s="150" t="s">
        <v>1133</v>
      </c>
      <c r="F56" s="187"/>
    </row>
    <row r="57" spans="1:6" ht="15.5">
      <c r="A57" s="112">
        <f t="shared" si="1"/>
        <v>46369</v>
      </c>
      <c r="B57" s="139"/>
      <c r="C57" s="136"/>
      <c r="D57" s="150" t="s">
        <v>611</v>
      </c>
      <c r="E57" s="150" t="s">
        <v>1134</v>
      </c>
      <c r="F57" s="187"/>
    </row>
    <row r="58" spans="1:6" ht="15.5">
      <c r="A58" s="112">
        <f t="shared" si="1"/>
        <v>46376</v>
      </c>
      <c r="B58" s="141"/>
      <c r="C58" s="189"/>
      <c r="D58" s="150" t="s">
        <v>611</v>
      </c>
      <c r="E58" s="150" t="s">
        <v>1098</v>
      </c>
      <c r="F58" s="187"/>
    </row>
    <row r="59" spans="1:6" ht="15.5">
      <c r="A59" s="112">
        <f>IF(MONTH(A$34+7*(ROW(A59)-34))=MONTH(A58), A$34+7*(ROW(A59)-34),"")</f>
        <v>46383</v>
      </c>
      <c r="B59" s="139"/>
      <c r="C59" s="136"/>
      <c r="D59" s="150" t="s">
        <v>611</v>
      </c>
      <c r="E59" s="150" t="s">
        <v>1099</v>
      </c>
      <c r="F59" s="187"/>
    </row>
    <row r="60" spans="1:6" ht="15.5">
      <c r="A60" s="112" t="str">
        <f>IF(MONTH(A$34+7*(ROW(A60)-34))=MONTH(A59), A$34+7*(ROW(A60)-34),"")</f>
        <v/>
      </c>
      <c r="B60" s="85"/>
      <c r="C60" s="103"/>
      <c r="D60" s="89"/>
      <c r="E60" s="8"/>
    </row>
    <row r="61" spans="1:6">
      <c r="B61" s="85"/>
      <c r="C61" s="103"/>
      <c r="D61" s="65"/>
      <c r="E61" s="8"/>
    </row>
    <row r="62" spans="1:6" ht="15.5">
      <c r="B62" s="153"/>
      <c r="C62" s="103"/>
      <c r="D62" s="89"/>
      <c r="E62" s="8"/>
    </row>
    <row r="63" spans="1:6" ht="41.4" customHeight="1">
      <c r="B63" s="85"/>
      <c r="C63" s="103"/>
      <c r="D63" s="89"/>
      <c r="E63" s="8"/>
    </row>
    <row r="64" spans="1:6" ht="41.4" customHeight="1">
      <c r="B64" s="85"/>
      <c r="C64" s="103"/>
      <c r="D64" s="82"/>
      <c r="E64" s="8"/>
    </row>
    <row r="65" spans="2:5" ht="41.4" customHeight="1">
      <c r="B65" s="153"/>
      <c r="C65" s="103"/>
      <c r="D65" s="89"/>
      <c r="E65" s="8"/>
    </row>
    <row r="66" spans="2:5" ht="15.5">
      <c r="B66" s="85"/>
      <c r="C66" s="103"/>
      <c r="D66" s="89"/>
      <c r="E66" s="8"/>
    </row>
    <row r="67" spans="2:5">
      <c r="B67" s="85"/>
      <c r="C67" s="103"/>
      <c r="D67" s="82"/>
      <c r="E67" s="8"/>
    </row>
    <row r="68" spans="2:5" ht="15.5">
      <c r="B68" s="153"/>
      <c r="C68" s="103"/>
      <c r="D68" s="89"/>
      <c r="E68" s="8"/>
    </row>
    <row r="69" spans="2:5">
      <c r="B69" s="85"/>
      <c r="C69" s="103"/>
      <c r="D69" s="82"/>
      <c r="E69" s="8"/>
    </row>
    <row r="70" spans="2:5">
      <c r="B70" s="85"/>
      <c r="C70" s="103"/>
      <c r="D70" s="82"/>
      <c r="E70" s="8"/>
    </row>
    <row r="71" spans="2:5">
      <c r="B71" s="85"/>
      <c r="C71" s="8"/>
      <c r="D71" s="82"/>
      <c r="E71" s="8"/>
    </row>
    <row r="72" spans="2:5">
      <c r="B72" s="85"/>
      <c r="C72" s="8"/>
      <c r="D72" s="82"/>
      <c r="E72" s="8"/>
    </row>
    <row r="73" spans="2:5">
      <c r="B73" s="85"/>
      <c r="C73" s="8"/>
      <c r="D73" s="82"/>
      <c r="E73" s="8"/>
    </row>
    <row r="74" spans="2:5">
      <c r="B74" s="85"/>
      <c r="C74" s="8"/>
      <c r="D74" s="82"/>
      <c r="E74" s="8"/>
    </row>
    <row r="75" spans="2:5">
      <c r="B75" s="85"/>
      <c r="C75" s="8"/>
      <c r="D75" s="82"/>
      <c r="E75" s="8"/>
    </row>
    <row r="76" spans="2:5">
      <c r="B76" s="85"/>
      <c r="C76" s="8"/>
      <c r="D76" s="82"/>
      <c r="E76" s="8"/>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sheetPr codeName="Sheet4"/>
  <dimension ref="A2:G74"/>
  <sheetViews>
    <sheetView zoomScale="85" zoomScaleNormal="85" workbookViewId="0">
      <selection activeCell="B14" sqref="B14"/>
    </sheetView>
  </sheetViews>
  <sheetFormatPr defaultRowHeight="15"/>
  <cols>
    <col min="1" max="1" width="21.08984375" style="111" bestFit="1" customWidth="1"/>
    <col min="2" max="2" width="52.36328125" style="8" customWidth="1"/>
    <col min="3" max="3" width="66.81640625" style="2" customWidth="1"/>
    <col min="4" max="4" width="14.6328125" style="2" customWidth="1"/>
    <col min="5" max="5" width="9.81640625" style="167" bestFit="1" customWidth="1"/>
    <col min="7" max="7" width="11" bestFit="1" customWidth="1"/>
  </cols>
  <sheetData>
    <row r="2" spans="1:7" ht="25.5" thickBot="1">
      <c r="A2" s="108"/>
      <c r="B2" s="126"/>
      <c r="C2" s="109"/>
      <c r="D2" s="147" t="s">
        <v>969</v>
      </c>
      <c r="E2" s="204"/>
    </row>
    <row r="3" spans="1:7" ht="15.5">
      <c r="A3" s="132" t="s">
        <v>91</v>
      </c>
      <c r="B3" s="127" t="s">
        <v>130</v>
      </c>
      <c r="C3" s="133" t="s">
        <v>1100</v>
      </c>
      <c r="D3" s="134" t="s">
        <v>88</v>
      </c>
      <c r="E3" s="135" t="s">
        <v>89</v>
      </c>
    </row>
    <row r="4" spans="1:7" ht="15.5">
      <c r="A4" s="112">
        <f>'Edit Translations'!B1+IF(WEEKDAY('Edit Translations'!B1)&gt;4,11,4)-WEEKDAY('Edit Translations'!B1)</f>
        <v>46029</v>
      </c>
      <c r="B4" s="150" t="s">
        <v>1167</v>
      </c>
      <c r="C4" s="203"/>
      <c r="D4" s="150" t="s">
        <v>777</v>
      </c>
      <c r="E4" s="140" t="s">
        <v>1137</v>
      </c>
    </row>
    <row r="5" spans="1:7" ht="15.5">
      <c r="A5" s="112">
        <f t="shared" ref="A5:A29" si="0">A$4+7*(ROW(A5)-4)</f>
        <v>46036</v>
      </c>
      <c r="B5" s="168" t="s">
        <v>1168</v>
      </c>
      <c r="C5" s="190"/>
      <c r="D5" s="150" t="s">
        <v>777</v>
      </c>
      <c r="E5" s="140" t="s">
        <v>599</v>
      </c>
      <c r="G5" s="170"/>
    </row>
    <row r="6" spans="1:7" ht="15.5">
      <c r="A6" s="112">
        <f t="shared" si="0"/>
        <v>46043</v>
      </c>
      <c r="B6" s="138" t="s">
        <v>1184</v>
      </c>
      <c r="C6" s="194"/>
      <c r="D6" s="150" t="s">
        <v>777</v>
      </c>
      <c r="E6" s="140" t="s">
        <v>596</v>
      </c>
    </row>
    <row r="7" spans="1:7" ht="36.9" customHeight="1">
      <c r="A7" s="112">
        <f t="shared" si="0"/>
        <v>46050</v>
      </c>
      <c r="B7" s="160" t="s">
        <v>1210</v>
      </c>
      <c r="C7" s="136" t="s">
        <v>1602</v>
      </c>
      <c r="D7" s="137"/>
      <c r="E7" s="140"/>
    </row>
    <row r="8" spans="1:7" ht="15.5">
      <c r="A8" s="112">
        <f t="shared" si="0"/>
        <v>46057</v>
      </c>
      <c r="B8" s="168" t="s">
        <v>1169</v>
      </c>
      <c r="C8" s="168"/>
      <c r="D8" s="137" t="s">
        <v>777</v>
      </c>
      <c r="E8" s="140" t="s">
        <v>985</v>
      </c>
    </row>
    <row r="9" spans="1:7" ht="15.5">
      <c r="A9" s="112">
        <f t="shared" si="0"/>
        <v>46064</v>
      </c>
      <c r="B9" s="168" t="s">
        <v>1185</v>
      </c>
      <c r="C9" s="168"/>
      <c r="D9" s="137" t="s">
        <v>777</v>
      </c>
      <c r="E9" s="140" t="s">
        <v>1138</v>
      </c>
    </row>
    <row r="10" spans="1:7" ht="33.65" customHeight="1">
      <c r="A10" s="112">
        <f t="shared" si="0"/>
        <v>46071</v>
      </c>
      <c r="B10" s="139" t="s">
        <v>1249</v>
      </c>
      <c r="C10" s="136" t="s">
        <v>1550</v>
      </c>
      <c r="D10" s="137"/>
      <c r="E10" s="140"/>
    </row>
    <row r="11" spans="1:7" ht="15.5">
      <c r="A11" s="112">
        <f t="shared" si="0"/>
        <v>46078</v>
      </c>
      <c r="B11" s="136" t="s">
        <v>1170</v>
      </c>
      <c r="C11" s="136"/>
      <c r="D11" s="137" t="s">
        <v>777</v>
      </c>
      <c r="E11" s="140" t="s">
        <v>1007</v>
      </c>
    </row>
    <row r="12" spans="1:7" ht="15.5">
      <c r="A12" s="112">
        <f t="shared" si="0"/>
        <v>46085</v>
      </c>
      <c r="B12" s="136" t="s">
        <v>1171</v>
      </c>
      <c r="C12" s="136"/>
      <c r="D12" s="137" t="s">
        <v>777</v>
      </c>
      <c r="E12" s="140" t="s">
        <v>1008</v>
      </c>
    </row>
    <row r="13" spans="1:7" ht="30.65" customHeight="1">
      <c r="A13" s="112">
        <f t="shared" si="0"/>
        <v>46092</v>
      </c>
      <c r="B13" s="141" t="s">
        <v>1153</v>
      </c>
      <c r="C13" s="136" t="s">
        <v>1154</v>
      </c>
      <c r="D13" s="137"/>
      <c r="E13" s="140"/>
    </row>
    <row r="14" spans="1:7" ht="15.5">
      <c r="A14" s="112">
        <f t="shared" si="0"/>
        <v>46099</v>
      </c>
      <c r="B14" s="136" t="s">
        <v>1176</v>
      </c>
      <c r="C14" s="136"/>
      <c r="D14" s="137" t="s">
        <v>19</v>
      </c>
      <c r="E14" s="140" t="s">
        <v>595</v>
      </c>
    </row>
    <row r="15" spans="1:7" ht="15.5">
      <c r="A15" s="112">
        <f t="shared" si="0"/>
        <v>46106</v>
      </c>
      <c r="B15" s="136" t="s">
        <v>1217</v>
      </c>
      <c r="C15" s="136"/>
      <c r="D15" s="137" t="s">
        <v>19</v>
      </c>
      <c r="E15" s="140" t="s">
        <v>1093</v>
      </c>
    </row>
    <row r="16" spans="1:7" ht="30.65" customHeight="1">
      <c r="A16" s="112">
        <f t="shared" si="0"/>
        <v>46113</v>
      </c>
      <c r="B16" s="139" t="s">
        <v>1156</v>
      </c>
      <c r="C16" s="136" t="s">
        <v>1601</v>
      </c>
      <c r="D16" s="137"/>
      <c r="E16" s="140"/>
    </row>
    <row r="17" spans="1:5" ht="15.5">
      <c r="A17" s="112">
        <f t="shared" si="0"/>
        <v>46120</v>
      </c>
      <c r="B17" s="136" t="s">
        <v>1534</v>
      </c>
      <c r="C17" s="136"/>
      <c r="D17" s="137" t="s">
        <v>1201</v>
      </c>
      <c r="E17" s="140" t="s">
        <v>595</v>
      </c>
    </row>
    <row r="18" spans="1:5" ht="15.5">
      <c r="A18" s="112">
        <f t="shared" si="0"/>
        <v>46127</v>
      </c>
      <c r="B18" s="136" t="s">
        <v>1186</v>
      </c>
      <c r="C18" s="136"/>
      <c r="D18" s="137" t="s">
        <v>1201</v>
      </c>
      <c r="E18" s="140" t="s">
        <v>1093</v>
      </c>
    </row>
    <row r="19" spans="1:5" ht="35.4" customHeight="1">
      <c r="A19" s="112">
        <f t="shared" si="0"/>
        <v>46134</v>
      </c>
      <c r="B19" s="141" t="s">
        <v>1157</v>
      </c>
      <c r="C19" s="136" t="s">
        <v>1540</v>
      </c>
      <c r="D19" s="137"/>
      <c r="E19" s="140"/>
    </row>
    <row r="20" spans="1:5" ht="15.5">
      <c r="A20" s="112">
        <f t="shared" si="0"/>
        <v>46141</v>
      </c>
      <c r="B20" s="136" t="s">
        <v>1173</v>
      </c>
      <c r="C20" s="136"/>
      <c r="D20" s="137" t="s">
        <v>1201</v>
      </c>
      <c r="E20" s="140" t="s">
        <v>599</v>
      </c>
    </row>
    <row r="21" spans="1:5" ht="15.5">
      <c r="A21" s="112">
        <f t="shared" si="0"/>
        <v>46148</v>
      </c>
      <c r="B21" s="138" t="s">
        <v>1261</v>
      </c>
      <c r="C21" s="138"/>
      <c r="D21" s="137" t="s">
        <v>1201</v>
      </c>
      <c r="E21" s="140" t="s">
        <v>596</v>
      </c>
    </row>
    <row r="22" spans="1:5" ht="33.9" customHeight="1">
      <c r="A22" s="112">
        <f t="shared" si="0"/>
        <v>46155</v>
      </c>
      <c r="B22" s="139" t="s">
        <v>1206</v>
      </c>
      <c r="C22" s="136" t="s">
        <v>1543</v>
      </c>
      <c r="D22" s="137"/>
      <c r="E22" s="131"/>
    </row>
    <row r="23" spans="1:5" ht="15.5">
      <c r="A23" s="112">
        <f t="shared" si="0"/>
        <v>46162</v>
      </c>
      <c r="B23" s="136" t="s">
        <v>1298</v>
      </c>
      <c r="C23" s="136"/>
      <c r="D23" s="137" t="s">
        <v>1201</v>
      </c>
      <c r="E23" s="140" t="s">
        <v>597</v>
      </c>
    </row>
    <row r="24" spans="1:5" ht="15.5">
      <c r="A24" s="112">
        <f t="shared" si="0"/>
        <v>46169</v>
      </c>
      <c r="B24" s="138" t="s">
        <v>1257</v>
      </c>
      <c r="C24" s="138"/>
      <c r="D24" s="137" t="s">
        <v>1201</v>
      </c>
      <c r="E24" s="140" t="s">
        <v>1094</v>
      </c>
    </row>
    <row r="25" spans="1:5" ht="30.65" customHeight="1">
      <c r="A25" s="112">
        <f t="shared" si="0"/>
        <v>46176</v>
      </c>
      <c r="B25" s="160" t="s">
        <v>1158</v>
      </c>
      <c r="C25" s="136" t="s">
        <v>1597</v>
      </c>
      <c r="D25" s="137"/>
      <c r="E25" s="131"/>
    </row>
    <row r="26" spans="1:5" ht="19.5" customHeight="1">
      <c r="A26" s="112">
        <f t="shared" si="0"/>
        <v>46183</v>
      </c>
      <c r="B26" s="136" t="s">
        <v>1258</v>
      </c>
      <c r="C26" s="136"/>
      <c r="D26" s="137" t="s">
        <v>1201</v>
      </c>
      <c r="E26" s="140" t="s">
        <v>1139</v>
      </c>
    </row>
    <row r="27" spans="1:5" ht="15.5">
      <c r="A27" s="112">
        <f t="shared" si="0"/>
        <v>46190</v>
      </c>
      <c r="B27" s="136" t="s">
        <v>1174</v>
      </c>
      <c r="C27" s="136"/>
      <c r="D27" s="137" t="s">
        <v>1201</v>
      </c>
      <c r="E27" s="140" t="s">
        <v>1007</v>
      </c>
    </row>
    <row r="28" spans="1:5" ht="31.5" customHeight="1">
      <c r="A28" s="112">
        <f t="shared" si="0"/>
        <v>46197</v>
      </c>
      <c r="B28" s="160" t="s">
        <v>1160</v>
      </c>
      <c r="C28" s="62" t="s">
        <v>1553</v>
      </c>
      <c r="D28" s="137"/>
      <c r="E28" s="131"/>
    </row>
    <row r="29" spans="1:5" ht="15.5">
      <c r="A29" s="112">
        <f t="shared" si="0"/>
        <v>46204</v>
      </c>
      <c r="B29" s="136" t="s">
        <v>1260</v>
      </c>
      <c r="C29" s="136"/>
      <c r="D29" s="137" t="s">
        <v>1201</v>
      </c>
      <c r="E29" s="140" t="s">
        <v>1140</v>
      </c>
    </row>
    <row r="30" spans="1:5" ht="15.5">
      <c r="A30" s="112">
        <f>IF(MONTH(A$4+7*(ROW(A30)-4))=MONTH(A29), A$4+7*(ROW(A30)-4),"")</f>
        <v>46211</v>
      </c>
      <c r="B30" s="62" t="s">
        <v>1259</v>
      </c>
      <c r="C30" s="163"/>
      <c r="D30" s="137" t="s">
        <v>1201</v>
      </c>
      <c r="E30" s="166">
        <v>12</v>
      </c>
    </row>
    <row r="31" spans="1:5">
      <c r="A31" s="145"/>
      <c r="B31" s="7"/>
    </row>
    <row r="32" spans="1:5">
      <c r="A32" s="146"/>
      <c r="B32" s="7"/>
    </row>
    <row r="33" spans="1:7">
      <c r="A33" s="146"/>
    </row>
    <row r="34" spans="1:7" ht="15.5">
      <c r="A34" s="112">
        <f>IF(MONTH(A$4+7*(ROW(A30)-4))=MONTH(A29), A$30+7,A$29+7)</f>
        <v>46218</v>
      </c>
      <c r="B34" s="136" t="s">
        <v>1189</v>
      </c>
      <c r="C34" s="163"/>
      <c r="D34" s="137" t="s">
        <v>1201</v>
      </c>
      <c r="E34" s="140" t="s">
        <v>1097</v>
      </c>
    </row>
    <row r="35" spans="1:7" ht="32.15" customHeight="1">
      <c r="A35" s="112">
        <f t="shared" ref="A35:A58" si="1">A$34+7*(ROW(A35)-34)</f>
        <v>46225</v>
      </c>
      <c r="B35" s="160" t="s">
        <v>1159</v>
      </c>
      <c r="C35" s="169" t="s">
        <v>1546</v>
      </c>
      <c r="D35" s="137"/>
      <c r="E35" s="131"/>
    </row>
    <row r="36" spans="1:7" ht="15.5">
      <c r="A36" s="112">
        <f t="shared" si="1"/>
        <v>46232</v>
      </c>
      <c r="B36" s="192" t="s">
        <v>1190</v>
      </c>
      <c r="C36" s="163"/>
      <c r="D36" s="150" t="s">
        <v>711</v>
      </c>
      <c r="E36" s="140" t="s">
        <v>595</v>
      </c>
    </row>
    <row r="37" spans="1:7" ht="15.5">
      <c r="A37" s="112">
        <f t="shared" si="1"/>
        <v>46239</v>
      </c>
      <c r="B37" s="192" t="s">
        <v>1192</v>
      </c>
      <c r="C37" s="163"/>
      <c r="D37" s="150" t="s">
        <v>711</v>
      </c>
      <c r="E37" s="140" t="s">
        <v>1093</v>
      </c>
    </row>
    <row r="38" spans="1:7" ht="35.15" customHeight="1">
      <c r="A38" s="112">
        <f t="shared" si="1"/>
        <v>46246</v>
      </c>
      <c r="B38" s="193" t="s">
        <v>1155</v>
      </c>
      <c r="C38" s="136" t="s">
        <v>1544</v>
      </c>
      <c r="D38" s="137"/>
      <c r="E38" s="140"/>
    </row>
    <row r="39" spans="1:7" ht="15.5">
      <c r="A39" s="112">
        <f t="shared" si="1"/>
        <v>46253</v>
      </c>
      <c r="B39" s="192" t="s">
        <v>1256</v>
      </c>
      <c r="C39" s="163"/>
      <c r="D39" s="150" t="s">
        <v>711</v>
      </c>
      <c r="E39" s="140" t="s">
        <v>599</v>
      </c>
    </row>
    <row r="40" spans="1:7" ht="15.5">
      <c r="A40" s="112">
        <f t="shared" si="1"/>
        <v>46260</v>
      </c>
      <c r="B40" s="194" t="s">
        <v>1283</v>
      </c>
      <c r="C40" s="163"/>
      <c r="D40" s="150" t="s">
        <v>952</v>
      </c>
      <c r="E40" s="140" t="s">
        <v>1141</v>
      </c>
    </row>
    <row r="41" spans="1:7" ht="15.5">
      <c r="A41" s="112">
        <f t="shared" si="1"/>
        <v>46267</v>
      </c>
      <c r="B41" s="194" t="s">
        <v>1305</v>
      </c>
      <c r="C41" s="163"/>
      <c r="D41" s="150" t="s">
        <v>952</v>
      </c>
      <c r="E41" s="140" t="s">
        <v>987</v>
      </c>
    </row>
    <row r="42" spans="1:7" ht="15.5">
      <c r="A42" s="112">
        <f t="shared" si="1"/>
        <v>46274</v>
      </c>
      <c r="B42" s="194" t="s">
        <v>1193</v>
      </c>
      <c r="C42" s="163"/>
      <c r="D42" s="150" t="s">
        <v>15</v>
      </c>
      <c r="E42" s="140" t="s">
        <v>1149</v>
      </c>
    </row>
    <row r="43" spans="1:7" ht="15.5">
      <c r="A43" s="112">
        <f t="shared" si="1"/>
        <v>46281</v>
      </c>
      <c r="B43" s="192" t="s">
        <v>1308</v>
      </c>
      <c r="C43" s="163"/>
      <c r="D43" s="150" t="s">
        <v>15</v>
      </c>
      <c r="E43" s="140" t="s">
        <v>696</v>
      </c>
    </row>
    <row r="44" spans="1:7" ht="15.5">
      <c r="A44" s="112">
        <f t="shared" si="1"/>
        <v>46288</v>
      </c>
      <c r="B44" s="192" t="s">
        <v>1195</v>
      </c>
      <c r="C44" s="163"/>
      <c r="D44" s="150" t="s">
        <v>15</v>
      </c>
      <c r="E44" s="140" t="s">
        <v>1177</v>
      </c>
    </row>
    <row r="45" spans="1:7" s="110" customFormat="1" ht="15.5">
      <c r="A45" s="112">
        <f t="shared" si="1"/>
        <v>46295</v>
      </c>
      <c r="B45" s="192" t="s">
        <v>1214</v>
      </c>
      <c r="C45" s="195"/>
      <c r="D45" s="150" t="s">
        <v>15</v>
      </c>
      <c r="E45" s="140" t="s">
        <v>1178</v>
      </c>
      <c r="G45"/>
    </row>
    <row r="46" spans="1:7" ht="15.5">
      <c r="A46" s="112">
        <f t="shared" si="1"/>
        <v>46302</v>
      </c>
      <c r="B46" s="192" t="s">
        <v>1255</v>
      </c>
      <c r="C46" s="163"/>
      <c r="D46" s="150" t="s">
        <v>711</v>
      </c>
      <c r="E46" s="140" t="s">
        <v>1142</v>
      </c>
    </row>
    <row r="47" spans="1:7" ht="35.15" customHeight="1">
      <c r="A47" s="112">
        <f t="shared" si="1"/>
        <v>46309</v>
      </c>
      <c r="B47" s="160" t="s">
        <v>1252</v>
      </c>
      <c r="C47" s="136" t="s">
        <v>1542</v>
      </c>
      <c r="D47" s="137"/>
      <c r="E47" s="140"/>
    </row>
    <row r="48" spans="1:7" ht="15.5">
      <c r="A48" s="112">
        <f t="shared" si="1"/>
        <v>46316</v>
      </c>
      <c r="B48" s="192" t="s">
        <v>1196</v>
      </c>
      <c r="C48" s="163"/>
      <c r="D48" s="150" t="s">
        <v>711</v>
      </c>
      <c r="E48" s="131" t="s">
        <v>1143</v>
      </c>
    </row>
    <row r="49" spans="1:5" ht="15.5">
      <c r="A49" s="112">
        <f t="shared" si="1"/>
        <v>46323</v>
      </c>
      <c r="B49" s="192" t="s">
        <v>1198</v>
      </c>
      <c r="C49" s="163"/>
      <c r="D49" s="150" t="s">
        <v>711</v>
      </c>
      <c r="E49" s="131" t="s">
        <v>1144</v>
      </c>
    </row>
    <row r="50" spans="1:5" ht="30">
      <c r="A50" s="112">
        <f t="shared" si="1"/>
        <v>46330</v>
      </c>
      <c r="B50" s="193" t="s">
        <v>1303</v>
      </c>
      <c r="C50" s="136" t="s">
        <v>1556</v>
      </c>
      <c r="D50" s="137"/>
      <c r="E50" s="131"/>
    </row>
    <row r="51" spans="1:5" ht="15.5">
      <c r="A51" s="112">
        <f t="shared" si="1"/>
        <v>46337</v>
      </c>
      <c r="B51" s="192" t="s">
        <v>1262</v>
      </c>
      <c r="C51" s="163"/>
      <c r="D51" s="150" t="s">
        <v>711</v>
      </c>
      <c r="E51" s="131" t="s">
        <v>1145</v>
      </c>
    </row>
    <row r="52" spans="1:5" ht="15.5">
      <c r="A52" s="112">
        <f t="shared" si="1"/>
        <v>46344</v>
      </c>
      <c r="B52" s="138" t="s">
        <v>1254</v>
      </c>
      <c r="C52" s="163"/>
      <c r="D52" s="150" t="s">
        <v>711</v>
      </c>
      <c r="E52" s="131" t="s">
        <v>1146</v>
      </c>
    </row>
    <row r="53" spans="1:5" ht="31.5" customHeight="1">
      <c r="A53" s="112">
        <f t="shared" si="1"/>
        <v>46351</v>
      </c>
      <c r="B53" s="160" t="s">
        <v>1205</v>
      </c>
      <c r="C53" s="136" t="s">
        <v>1549</v>
      </c>
      <c r="D53" s="137"/>
      <c r="E53" s="131"/>
    </row>
    <row r="54" spans="1:5" ht="15.5">
      <c r="A54" s="112">
        <f t="shared" si="1"/>
        <v>46358</v>
      </c>
      <c r="B54" s="138" t="s">
        <v>1253</v>
      </c>
      <c r="C54" s="163"/>
      <c r="D54" s="150" t="s">
        <v>711</v>
      </c>
      <c r="E54" s="131" t="s">
        <v>1147</v>
      </c>
    </row>
    <row r="55" spans="1:5" ht="15.5">
      <c r="A55" s="112">
        <f t="shared" si="1"/>
        <v>46365</v>
      </c>
      <c r="B55" s="192" t="s">
        <v>1264</v>
      </c>
      <c r="C55" s="163"/>
      <c r="D55" s="150" t="s">
        <v>711</v>
      </c>
      <c r="E55" s="131" t="s">
        <v>1148</v>
      </c>
    </row>
    <row r="56" spans="1:5" ht="15.5">
      <c r="A56" s="112">
        <f t="shared" si="1"/>
        <v>46372</v>
      </c>
      <c r="B56" s="159" t="s">
        <v>1263</v>
      </c>
      <c r="C56" s="163"/>
      <c r="D56" s="150" t="s">
        <v>952</v>
      </c>
      <c r="E56" s="131" t="s">
        <v>1179</v>
      </c>
    </row>
    <row r="57" spans="1:5" ht="15.5">
      <c r="A57" s="112">
        <f t="shared" si="1"/>
        <v>46379</v>
      </c>
      <c r="B57" s="192" t="s">
        <v>1265</v>
      </c>
      <c r="C57" s="163"/>
      <c r="D57" s="150" t="s">
        <v>952</v>
      </c>
      <c r="E57" s="131" t="s">
        <v>1180</v>
      </c>
    </row>
    <row r="58" spans="1:5" ht="15.5">
      <c r="A58" s="112">
        <f t="shared" si="1"/>
        <v>46386</v>
      </c>
      <c r="B58" s="192" t="s">
        <v>1182</v>
      </c>
      <c r="C58" s="163"/>
      <c r="D58" s="150" t="s">
        <v>952</v>
      </c>
      <c r="E58" s="131" t="s">
        <v>1181</v>
      </c>
    </row>
    <row r="59" spans="1:5" ht="15.5">
      <c r="A59" s="35"/>
      <c r="B59" s="103"/>
      <c r="C59" s="65"/>
      <c r="D59" s="151"/>
      <c r="E59" s="152"/>
    </row>
    <row r="60" spans="1:5" ht="15.5">
      <c r="B60" s="103"/>
      <c r="C60" s="65"/>
      <c r="D60" s="151"/>
      <c r="E60" s="152"/>
    </row>
    <row r="61" spans="1:5" ht="15.5">
      <c r="B61" s="85"/>
      <c r="C61" s="103"/>
      <c r="D61" s="151"/>
      <c r="E61" s="152"/>
    </row>
    <row r="62" spans="1:5" ht="15.5">
      <c r="B62" s="103"/>
      <c r="C62" s="103"/>
      <c r="D62" s="151"/>
      <c r="E62" s="152"/>
    </row>
    <row r="63" spans="1:5" ht="15.5">
      <c r="B63" s="103"/>
      <c r="C63" s="103"/>
      <c r="D63" s="151"/>
      <c r="E63" s="152"/>
    </row>
    <row r="64" spans="1:5" ht="15.5">
      <c r="B64" s="85"/>
      <c r="C64" s="103"/>
      <c r="D64" s="151"/>
      <c r="E64" s="152"/>
    </row>
    <row r="65" spans="2:5" ht="15.5">
      <c r="B65" s="103"/>
      <c r="C65" s="103"/>
      <c r="D65" s="151"/>
      <c r="E65" s="152"/>
    </row>
    <row r="66" spans="2:5" ht="15.5">
      <c r="B66" s="103"/>
      <c r="C66" s="103"/>
      <c r="D66" s="151"/>
      <c r="E66" s="152"/>
    </row>
    <row r="67" spans="2:5" ht="15.5">
      <c r="B67" s="153"/>
      <c r="C67" s="103"/>
      <c r="D67" s="151"/>
      <c r="E67" s="152"/>
    </row>
    <row r="68" spans="2:5" ht="15.5">
      <c r="B68" s="103"/>
      <c r="C68" s="103"/>
      <c r="D68" s="151"/>
      <c r="E68" s="152"/>
    </row>
    <row r="69" spans="2:5" ht="15.5">
      <c r="B69" s="103"/>
      <c r="C69" s="103"/>
      <c r="D69" s="151"/>
      <c r="E69" s="152"/>
    </row>
    <row r="70" spans="2:5" ht="15.5">
      <c r="B70" s="103"/>
      <c r="C70" s="103"/>
      <c r="D70" s="151"/>
      <c r="E70" s="152"/>
    </row>
    <row r="71" spans="2:5" ht="15.5">
      <c r="B71" s="65"/>
      <c r="C71" s="103"/>
      <c r="D71" s="151"/>
      <c r="E71" s="152"/>
    </row>
    <row r="72" spans="2:5" ht="15.5">
      <c r="B72" s="103"/>
      <c r="C72" s="103"/>
      <c r="D72" s="151"/>
      <c r="E72" s="152"/>
    </row>
    <row r="73" spans="2:5" ht="15.5">
      <c r="B73" s="65"/>
      <c r="C73" s="103"/>
      <c r="D73" s="151"/>
      <c r="E73" s="152"/>
    </row>
    <row r="74" spans="2:5" ht="15.5">
      <c r="B74" s="103"/>
      <c r="C74" s="103"/>
      <c r="D74" s="151"/>
      <c r="E74" s="152"/>
    </row>
  </sheetData>
  <phoneticPr fontId="26" type="noConversion"/>
  <pageMargins left="0.7" right="0.7" top="0.75" bottom="0.75" header="0.3" footer="0.3"/>
  <pageSetup paperSize="9" orientation="portrait" horizontalDpi="1200" verticalDpi="1200" r:id="rId1"/>
</worksheet>
</file>

<file path=xl/worksheets/sheet3.xml><?xml version="1.0" encoding="utf-8"?>
<worksheet xmlns="http://schemas.openxmlformats.org/spreadsheetml/2006/main" xmlns:r="http://schemas.openxmlformats.org/officeDocument/2006/relationships">
  <sheetPr codeName="Sheet5">
    <pageSetUpPr fitToPage="1"/>
  </sheetPr>
  <dimension ref="A1:Q353"/>
  <sheetViews>
    <sheetView tabSelected="1" workbookViewId="0">
      <selection activeCell="C21" sqref="C21"/>
    </sheetView>
  </sheetViews>
  <sheetFormatPr defaultRowHeight="15" customHeight="1"/>
  <cols>
    <col min="1" max="1" width="20.1796875" style="67" customWidth="1"/>
    <col min="2" max="2" width="31.90625" style="67" bestFit="1" customWidth="1"/>
    <col min="3" max="3" width="21.81640625" style="67" customWidth="1"/>
    <col min="4" max="4" width="55.7265625" style="67" customWidth="1"/>
    <col min="5" max="5" width="30.7265625" style="89" customWidth="1"/>
    <col min="6" max="6" width="33.81640625" style="67" customWidth="1"/>
    <col min="7" max="8" width="29.90625" style="67" customWidth="1"/>
    <col min="9" max="9" width="36" style="68" customWidth="1"/>
    <col min="10" max="10" width="55" style="67" customWidth="1"/>
    <col min="11" max="11" width="54.81640625" style="67" customWidth="1"/>
    <col min="12" max="12" width="55.90625" style="67" customWidth="1"/>
    <col min="13" max="13" width="46.90625" style="67" customWidth="1"/>
    <col min="14" max="14" width="21.54296875" style="67" customWidth="1"/>
    <col min="15" max="15" width="57.453125" style="67" customWidth="1"/>
    <col min="16" max="16" width="62.7265625" style="67" bestFit="1" customWidth="1"/>
    <col min="17" max="16384" width="8.7265625" style="67"/>
  </cols>
  <sheetData>
    <row r="1" spans="1:16" ht="15" customHeight="1">
      <c r="A1" s="67" t="s">
        <v>684</v>
      </c>
      <c r="B1" s="107">
        <v>46026</v>
      </c>
      <c r="D1" s="67">
        <v>2</v>
      </c>
      <c r="E1" s="89">
        <v>3</v>
      </c>
      <c r="F1" s="67">
        <v>4</v>
      </c>
      <c r="G1" s="67">
        <v>5</v>
      </c>
      <c r="H1" s="67">
        <v>6</v>
      </c>
      <c r="I1" s="68">
        <v>7</v>
      </c>
      <c r="J1" s="67">
        <v>8</v>
      </c>
      <c r="K1" s="67">
        <v>9</v>
      </c>
      <c r="L1" s="67">
        <v>10</v>
      </c>
      <c r="M1" s="74">
        <v>11</v>
      </c>
      <c r="N1" s="67">
        <v>12</v>
      </c>
      <c r="O1" s="67">
        <v>13</v>
      </c>
      <c r="P1" s="67">
        <v>14</v>
      </c>
    </row>
    <row r="2" spans="1:16" ht="15" customHeight="1">
      <c r="A2" s="67" t="s">
        <v>138</v>
      </c>
    </row>
    <row r="3" spans="1:16" ht="15" customHeight="1" thickBot="1">
      <c r="A3" s="67" t="s">
        <v>191</v>
      </c>
      <c r="B3" s="104">
        <v>2</v>
      </c>
      <c r="C3" s="66"/>
      <c r="D3" s="66" t="s">
        <v>44</v>
      </c>
      <c r="E3" s="225" t="s">
        <v>45</v>
      </c>
      <c r="F3" s="66" t="s">
        <v>124</v>
      </c>
      <c r="G3" s="66" t="s">
        <v>253</v>
      </c>
      <c r="H3" s="71" t="s">
        <v>428</v>
      </c>
      <c r="I3" s="75" t="s">
        <v>242</v>
      </c>
      <c r="J3" s="66" t="s">
        <v>252</v>
      </c>
      <c r="K3" s="66" t="s">
        <v>254</v>
      </c>
      <c r="L3" s="66" t="s">
        <v>291</v>
      </c>
      <c r="M3" s="67" t="s">
        <v>317</v>
      </c>
      <c r="N3" s="66" t="s">
        <v>523</v>
      </c>
      <c r="O3" s="66" t="s">
        <v>683</v>
      </c>
      <c r="P3" s="67" t="s">
        <v>1088</v>
      </c>
    </row>
    <row r="4" spans="1:16" ht="15" customHeight="1">
      <c r="A4" s="67" t="s">
        <v>190</v>
      </c>
      <c r="B4" s="104">
        <v>11</v>
      </c>
      <c r="C4" s="67" t="s">
        <v>315</v>
      </c>
      <c r="D4" s="33"/>
      <c r="F4" s="72" t="s">
        <v>953</v>
      </c>
      <c r="M4" s="76"/>
      <c r="N4" s="77"/>
      <c r="P4" s="72" t="s">
        <v>953</v>
      </c>
    </row>
    <row r="5" spans="1:16" ht="15" customHeight="1">
      <c r="A5" s="67" t="s">
        <v>93</v>
      </c>
      <c r="B5" s="104">
        <v>2</v>
      </c>
      <c r="C5" s="67" t="s">
        <v>316</v>
      </c>
      <c r="G5" s="67">
        <f>F5</f>
        <v>0</v>
      </c>
      <c r="N5" s="77"/>
    </row>
    <row r="6" spans="1:16" ht="15" customHeight="1">
      <c r="A6" s="67" t="s">
        <v>125</v>
      </c>
      <c r="B6" s="104">
        <v>11</v>
      </c>
      <c r="C6" s="67" t="s">
        <v>148</v>
      </c>
      <c r="D6" s="67" t="s">
        <v>1117</v>
      </c>
      <c r="E6" s="89" t="s">
        <v>1293</v>
      </c>
      <c r="F6" s="67" t="s">
        <v>1344</v>
      </c>
      <c r="G6" s="67" t="s">
        <v>1084</v>
      </c>
      <c r="H6" s="67" t="str">
        <f>G6</f>
        <v>Accepting Disappointment Graciously \ Kuitikia uzini kwa/naxxxxxdddd</v>
      </c>
      <c r="I6" s="68" t="s">
        <v>1530</v>
      </c>
      <c r="J6" s="67" t="s">
        <v>1111</v>
      </c>
      <c r="K6" s="67" t="s">
        <v>1131</v>
      </c>
      <c r="L6" s="67" t="s">
        <v>1116</v>
      </c>
      <c r="M6" s="67" t="s">
        <v>1083</v>
      </c>
      <c r="N6" s="67" t="s">
        <v>914</v>
      </c>
      <c r="O6" s="67" t="s">
        <v>1126</v>
      </c>
      <c r="P6" s="67" t="s">
        <v>1091</v>
      </c>
    </row>
    <row r="7" spans="1:16" ht="15" customHeight="1">
      <c r="A7" s="67" t="s">
        <v>422</v>
      </c>
      <c r="B7" s="104">
        <v>11</v>
      </c>
      <c r="C7" s="67" t="s">
        <v>149</v>
      </c>
      <c r="D7" s="67" t="s">
        <v>1555</v>
      </c>
      <c r="E7" s="89" t="s">
        <v>1599</v>
      </c>
      <c r="F7" s="67" t="s">
        <v>1600</v>
      </c>
      <c r="G7" s="67" t="s">
        <v>968</v>
      </c>
      <c r="H7" s="67" t="str">
        <f t="shared" ref="H7:H9" si="0">G7</f>
        <v>Fullness of God's Provision \ Kuyazwa navile tunapatixxxxxxxxxxxxx</v>
      </c>
      <c r="I7" s="68" t="s">
        <v>1531</v>
      </c>
      <c r="J7" s="67" t="s">
        <v>1462</v>
      </c>
      <c r="K7" s="67" t="s">
        <v>1664</v>
      </c>
      <c r="L7" s="67" t="s">
        <v>1598</v>
      </c>
      <c r="M7" s="67" t="s">
        <v>1593</v>
      </c>
      <c r="N7" s="67" t="s">
        <v>916</v>
      </c>
      <c r="O7" s="67" t="s">
        <v>1127</v>
      </c>
      <c r="P7" s="67" t="s">
        <v>1345</v>
      </c>
    </row>
    <row r="8" spans="1:16" ht="15" customHeight="1">
      <c r="A8" s="67" t="s">
        <v>423</v>
      </c>
      <c r="B8" s="104">
        <v>2</v>
      </c>
      <c r="C8" s="67" t="s">
        <v>147</v>
      </c>
      <c r="D8" s="67" t="s">
        <v>1118</v>
      </c>
      <c r="E8" s="33" t="s">
        <v>1104</v>
      </c>
      <c r="F8" s="67" t="s">
        <v>1110</v>
      </c>
      <c r="G8" s="67" t="s">
        <v>1085</v>
      </c>
      <c r="H8" s="67" t="str">
        <f t="shared" si="0"/>
        <v>Who/What to Pray for -- Wie/Waarvoor om te Bid…xxdddd</v>
      </c>
      <c r="I8" s="68" t="s">
        <v>1120</v>
      </c>
      <c r="J8" s="67" t="s">
        <v>1113</v>
      </c>
      <c r="K8" s="67" t="s">
        <v>1130</v>
      </c>
      <c r="L8" s="67" t="s">
        <v>1114</v>
      </c>
      <c r="M8" s="67" t="s">
        <v>1082</v>
      </c>
      <c r="N8" s="67" t="s">
        <v>917</v>
      </c>
      <c r="O8" s="67" t="s">
        <v>1124</v>
      </c>
      <c r="P8" s="67" t="s">
        <v>1089</v>
      </c>
    </row>
    <row r="9" spans="1:16" ht="15" customHeight="1">
      <c r="A9" s="67" t="s">
        <v>663</v>
      </c>
      <c r="B9" s="106" t="s">
        <v>981</v>
      </c>
      <c r="C9" s="67" t="s">
        <v>150</v>
      </c>
      <c r="D9" s="67" t="s">
        <v>1080</v>
      </c>
      <c r="E9" s="33" t="s">
        <v>1105</v>
      </c>
      <c r="F9" s="67" t="s">
        <v>1109</v>
      </c>
      <c r="G9" s="67" t="s">
        <v>670</v>
      </c>
      <c r="H9" s="67" t="str">
        <f t="shared" si="0"/>
        <v>Who/What to Pray for - Wie/Waarvoor om te Bxxxxxx</v>
      </c>
      <c r="I9" s="68" t="s">
        <v>1121</v>
      </c>
      <c r="J9" s="67" t="s">
        <v>1112</v>
      </c>
      <c r="K9" s="67" t="s">
        <v>954</v>
      </c>
      <c r="L9" s="67" t="s">
        <v>1115</v>
      </c>
      <c r="M9" s="67" t="s">
        <v>1081</v>
      </c>
      <c r="N9" s="67" t="s">
        <v>915</v>
      </c>
      <c r="O9" s="67" t="s">
        <v>1125</v>
      </c>
      <c r="P9" s="67" t="s">
        <v>1090</v>
      </c>
    </row>
    <row r="10" spans="1:16" ht="15" customHeight="1">
      <c r="A10" s="41" t="s">
        <v>593</v>
      </c>
      <c r="B10" s="102">
        <v>11</v>
      </c>
      <c r="C10" s="67" t="s">
        <v>578</v>
      </c>
      <c r="D10" s="41">
        <f t="shared" ref="D10:P10" si="1">186-D11</f>
        <v>104</v>
      </c>
      <c r="E10" s="33">
        <f t="shared" si="1"/>
        <v>106</v>
      </c>
      <c r="F10" s="41">
        <f t="shared" si="1"/>
        <v>106</v>
      </c>
      <c r="G10" s="41">
        <f t="shared" si="1"/>
        <v>106</v>
      </c>
      <c r="H10" s="41">
        <f t="shared" si="1"/>
        <v>106</v>
      </c>
      <c r="I10" s="41">
        <f t="shared" si="1"/>
        <v>106</v>
      </c>
      <c r="J10" s="41">
        <v>106</v>
      </c>
      <c r="K10" s="41">
        <f t="shared" si="1"/>
        <v>106</v>
      </c>
      <c r="L10" s="41">
        <v>106</v>
      </c>
      <c r="M10" s="41">
        <f t="shared" si="1"/>
        <v>106</v>
      </c>
      <c r="N10" s="41">
        <f t="shared" si="1"/>
        <v>106</v>
      </c>
      <c r="O10" s="41">
        <f t="shared" si="1"/>
        <v>106</v>
      </c>
      <c r="P10" s="41">
        <f t="shared" si="1"/>
        <v>106</v>
      </c>
    </row>
    <row r="11" spans="1:16" ht="15" customHeight="1">
      <c r="A11" s="41" t="s">
        <v>947</v>
      </c>
      <c r="B11" s="102">
        <v>1</v>
      </c>
      <c r="C11" s="67" t="s">
        <v>579</v>
      </c>
      <c r="D11" s="41">
        <v>82</v>
      </c>
      <c r="E11" s="33">
        <v>80</v>
      </c>
      <c r="F11" s="41">
        <v>80</v>
      </c>
      <c r="G11" s="41">
        <v>80</v>
      </c>
      <c r="H11" s="41">
        <v>80</v>
      </c>
      <c r="I11" s="41">
        <v>80</v>
      </c>
      <c r="J11" s="41">
        <v>80</v>
      </c>
      <c r="K11" s="41">
        <v>80</v>
      </c>
      <c r="L11" s="41">
        <v>80</v>
      </c>
      <c r="M11" s="41">
        <v>80</v>
      </c>
      <c r="N11" s="41">
        <v>80</v>
      </c>
      <c r="O11" s="41">
        <v>80</v>
      </c>
      <c r="P11" s="41">
        <v>80</v>
      </c>
    </row>
    <row r="12" spans="1:16" ht="15" customHeight="1">
      <c r="A12" s="67" t="s">
        <v>128</v>
      </c>
      <c r="B12" s="67" t="str">
        <f xml:space="preserve"> CONCATENATE(TEXT(B1,"yyyy"),IF(TEXT(B1,"mmm")&lt;&gt;"jan",CONCATENATE("/",TEXT(B1+365,"yy")),""))</f>
        <v>2026</v>
      </c>
      <c r="C12" s="67" t="s">
        <v>192</v>
      </c>
      <c r="D12" s="41">
        <v>2</v>
      </c>
      <c r="E12" s="89">
        <v>2</v>
      </c>
      <c r="F12" s="67">
        <v>4</v>
      </c>
      <c r="G12" s="67">
        <v>13</v>
      </c>
      <c r="H12" s="67">
        <v>13</v>
      </c>
      <c r="I12" s="68">
        <v>7</v>
      </c>
      <c r="J12" s="68">
        <v>8</v>
      </c>
      <c r="K12" s="67">
        <v>9</v>
      </c>
      <c r="L12" s="67">
        <v>10</v>
      </c>
      <c r="M12" s="67">
        <v>11</v>
      </c>
      <c r="N12" s="67">
        <v>12</v>
      </c>
      <c r="O12" s="67">
        <v>13</v>
      </c>
      <c r="P12" s="67">
        <v>4</v>
      </c>
    </row>
    <row r="13" spans="1:16" ht="15" customHeight="1">
      <c r="C13" s="67" t="s">
        <v>93</v>
      </c>
      <c r="E13" s="89">
        <v>3</v>
      </c>
      <c r="F13" s="67">
        <v>2</v>
      </c>
      <c r="G13" s="67">
        <v>5</v>
      </c>
      <c r="H13" s="67">
        <v>5</v>
      </c>
      <c r="I13" s="68">
        <v>2</v>
      </c>
      <c r="J13" s="68">
        <v>2</v>
      </c>
      <c r="K13" s="67">
        <v>2</v>
      </c>
      <c r="L13" s="67">
        <v>2</v>
      </c>
      <c r="M13" s="67">
        <v>2</v>
      </c>
      <c r="N13" s="67">
        <v>2</v>
      </c>
      <c r="O13" s="67">
        <v>2</v>
      </c>
    </row>
    <row r="14" spans="1:16" ht="15" customHeight="1">
      <c r="A14" s="67" t="s">
        <v>238</v>
      </c>
      <c r="B14" s="104">
        <v>0</v>
      </c>
      <c r="C14" s="67" t="s">
        <v>125</v>
      </c>
      <c r="D14" s="67">
        <v>2</v>
      </c>
      <c r="E14" s="89">
        <v>2</v>
      </c>
      <c r="F14" s="67">
        <v>4</v>
      </c>
      <c r="G14" s="67">
        <v>13</v>
      </c>
      <c r="H14" s="67">
        <v>13</v>
      </c>
      <c r="I14" s="68">
        <v>7</v>
      </c>
      <c r="J14" s="68">
        <v>8</v>
      </c>
      <c r="K14" s="67">
        <v>9</v>
      </c>
      <c r="L14" s="67">
        <v>10</v>
      </c>
      <c r="M14" s="67">
        <v>11</v>
      </c>
      <c r="N14" s="67">
        <v>12</v>
      </c>
      <c r="O14" s="67">
        <v>13</v>
      </c>
      <c r="P14" s="67">
        <v>4</v>
      </c>
    </row>
    <row r="15" spans="1:16" ht="15" customHeight="1">
      <c r="A15" s="67" t="s">
        <v>239</v>
      </c>
      <c r="B15" s="67">
        <v>0</v>
      </c>
      <c r="C15" s="67" t="s">
        <v>422</v>
      </c>
      <c r="D15" s="67">
        <v>2</v>
      </c>
      <c r="E15" s="89">
        <v>2</v>
      </c>
      <c r="F15" s="67">
        <v>4</v>
      </c>
      <c r="G15" s="67">
        <v>13</v>
      </c>
      <c r="H15" s="67">
        <v>13</v>
      </c>
      <c r="I15" s="68">
        <v>7</v>
      </c>
      <c r="J15" s="68">
        <v>8</v>
      </c>
      <c r="K15" s="67">
        <v>9</v>
      </c>
      <c r="L15" s="67">
        <v>10</v>
      </c>
      <c r="M15" s="67">
        <v>11</v>
      </c>
      <c r="N15" s="67">
        <v>12</v>
      </c>
      <c r="O15" s="67">
        <v>13</v>
      </c>
      <c r="P15" s="67">
        <v>4</v>
      </c>
    </row>
    <row r="16" spans="1:16" ht="15" customHeight="1">
      <c r="A16" s="67" t="s">
        <v>240</v>
      </c>
      <c r="B16" s="102">
        <v>1</v>
      </c>
      <c r="C16" s="67" t="s">
        <v>423</v>
      </c>
      <c r="E16" s="89">
        <v>3</v>
      </c>
      <c r="F16" s="67">
        <v>2</v>
      </c>
      <c r="G16" s="67">
        <v>5</v>
      </c>
      <c r="H16" s="67">
        <v>5</v>
      </c>
      <c r="I16" s="68">
        <v>7</v>
      </c>
      <c r="J16" s="68">
        <v>8</v>
      </c>
      <c r="K16" s="67">
        <v>2</v>
      </c>
      <c r="L16" s="67">
        <v>2</v>
      </c>
      <c r="M16" s="67">
        <v>2</v>
      </c>
      <c r="N16" s="67">
        <v>12</v>
      </c>
      <c r="O16" s="67">
        <v>2</v>
      </c>
    </row>
    <row r="17" spans="1:16" ht="15" customHeight="1">
      <c r="A17" s="67" t="s">
        <v>299</v>
      </c>
      <c r="B17" s="102">
        <v>0</v>
      </c>
      <c r="C17" s="67" t="s">
        <v>970</v>
      </c>
      <c r="D17" s="67" t="s">
        <v>971</v>
      </c>
      <c r="E17" s="89" t="s">
        <v>976</v>
      </c>
      <c r="F17" s="67" t="s">
        <v>977</v>
      </c>
      <c r="G17" s="67" t="s">
        <v>973</v>
      </c>
      <c r="I17" s="68" t="s">
        <v>978</v>
      </c>
      <c r="J17" s="67" t="s">
        <v>979</v>
      </c>
      <c r="K17" s="67" t="s">
        <v>972</v>
      </c>
      <c r="L17" s="67" t="s">
        <v>980</v>
      </c>
      <c r="M17" s="67" t="s">
        <v>981</v>
      </c>
      <c r="N17" s="77" t="s">
        <v>982</v>
      </c>
      <c r="O17" s="67" t="s">
        <v>983</v>
      </c>
      <c r="P17" s="67" t="s">
        <v>1092</v>
      </c>
    </row>
    <row r="18" spans="1:16" ht="15" customHeight="1">
      <c r="A18" s="41" t="s">
        <v>301</v>
      </c>
      <c r="B18" s="102">
        <v>0</v>
      </c>
      <c r="C18" s="67" t="s">
        <v>975</v>
      </c>
      <c r="D18" s="67">
        <v>1</v>
      </c>
      <c r="E18" s="89">
        <v>1</v>
      </c>
      <c r="F18" s="67">
        <v>1</v>
      </c>
      <c r="G18" s="67">
        <v>0</v>
      </c>
      <c r="H18" s="67">
        <v>0</v>
      </c>
      <c r="I18" s="68">
        <v>1</v>
      </c>
      <c r="J18" s="67">
        <v>1</v>
      </c>
      <c r="K18" s="67">
        <v>1</v>
      </c>
      <c r="L18" s="67">
        <v>1</v>
      </c>
      <c r="M18" s="67">
        <v>1</v>
      </c>
      <c r="N18" s="77">
        <v>0</v>
      </c>
      <c r="O18" s="67">
        <v>1</v>
      </c>
      <c r="P18" s="67">
        <v>1</v>
      </c>
    </row>
    <row r="19" spans="1:16" ht="15" customHeight="1">
      <c r="A19" s="67" t="s">
        <v>385</v>
      </c>
      <c r="B19" s="102">
        <v>0</v>
      </c>
    </row>
    <row r="20" spans="1:16" ht="15" customHeight="1">
      <c r="A20" s="41" t="s">
        <v>974</v>
      </c>
      <c r="B20" s="102">
        <v>0</v>
      </c>
    </row>
    <row r="21" spans="1:16" ht="15" customHeight="1">
      <c r="A21" s="41"/>
    </row>
    <row r="22" spans="1:16" ht="15" customHeight="1">
      <c r="A22" s="41"/>
      <c r="B22" s="67" t="s">
        <v>1203</v>
      </c>
      <c r="J22" s="67" t="s">
        <v>1248</v>
      </c>
    </row>
    <row r="23" spans="1:16" ht="15" customHeight="1">
      <c r="A23" s="41"/>
      <c r="B23" s="67" t="s">
        <v>1204</v>
      </c>
    </row>
    <row r="24" spans="1:16" ht="15" customHeight="1">
      <c r="A24" s="41"/>
      <c r="B24" s="67" t="s">
        <v>1202</v>
      </c>
    </row>
    <row r="25" spans="1:16" ht="15" customHeight="1">
      <c r="A25" s="41"/>
    </row>
    <row r="26" spans="1:16" ht="15" customHeight="1">
      <c r="A26" s="41"/>
    </row>
    <row r="27" spans="1:16" ht="15" customHeight="1">
      <c r="A27" s="41"/>
    </row>
    <row r="28" spans="1:16" ht="15" customHeight="1">
      <c r="A28" s="41"/>
    </row>
    <row r="29" spans="1:16" ht="15" customHeight="1">
      <c r="A29" s="41"/>
    </row>
    <row r="30" spans="1:16" ht="15" customHeight="1">
      <c r="A30" s="41"/>
    </row>
    <row r="31" spans="1:16" ht="15" customHeight="1">
      <c r="A31" s="41"/>
    </row>
    <row r="32" spans="1:16" ht="15" customHeight="1">
      <c r="A32" s="41"/>
    </row>
    <row r="33" spans="1:1" ht="15" customHeight="1">
      <c r="A33" s="41"/>
    </row>
    <row r="34" spans="1:1" ht="15" customHeight="1">
      <c r="A34" s="41"/>
    </row>
    <row r="35" spans="1:1" ht="15" customHeight="1">
      <c r="A35" s="41"/>
    </row>
    <row r="36" spans="1:1" ht="15" customHeight="1">
      <c r="A36" s="41"/>
    </row>
    <row r="37" spans="1:1" ht="15" customHeight="1">
      <c r="A37" s="41"/>
    </row>
    <row r="38" spans="1:1" ht="15" customHeight="1">
      <c r="A38" s="41"/>
    </row>
    <row r="39" spans="1:1" ht="15" customHeight="1">
      <c r="A39" s="41"/>
    </row>
    <row r="40" spans="1:1" ht="15" customHeight="1">
      <c r="A40" s="41"/>
    </row>
    <row r="41" spans="1:1" ht="15" customHeight="1">
      <c r="A41" s="41"/>
    </row>
    <row r="42" spans="1:1" ht="15" customHeight="1">
      <c r="A42" s="41"/>
    </row>
    <row r="43" spans="1:1" ht="15" customHeight="1">
      <c r="A43" s="41"/>
    </row>
    <row r="44" spans="1:1" ht="15" customHeight="1">
      <c r="A44" s="41"/>
    </row>
    <row r="45" spans="1:1" ht="15" customHeight="1">
      <c r="A45" s="41"/>
    </row>
    <row r="46" spans="1:1" ht="15" customHeight="1">
      <c r="A46" s="41"/>
    </row>
    <row r="47" spans="1:1" ht="15" customHeight="1">
      <c r="A47" s="41"/>
    </row>
    <row r="48" spans="1:1" ht="15" customHeight="1">
      <c r="A48" s="41"/>
    </row>
    <row r="49" spans="1:15" ht="15" customHeight="1">
      <c r="A49" s="41"/>
    </row>
    <row r="50" spans="1:15" ht="15" customHeight="1">
      <c r="A50" s="41"/>
    </row>
    <row r="51" spans="1:15" ht="15" customHeight="1" thickBot="1">
      <c r="A51" s="41"/>
      <c r="C51" s="78" t="s">
        <v>43</v>
      </c>
      <c r="D51" s="66" t="s">
        <v>146</v>
      </c>
      <c r="E51" s="225"/>
      <c r="F51" s="66"/>
      <c r="G51" s="66"/>
      <c r="H51" s="66"/>
      <c r="I51" s="75"/>
      <c r="J51" s="66"/>
      <c r="K51" s="66"/>
      <c r="L51" s="66"/>
      <c r="M51" s="66"/>
      <c r="N51" s="113"/>
      <c r="O51" s="66"/>
    </row>
    <row r="52" spans="1:15" ht="15" customHeight="1">
      <c r="A52" s="41"/>
      <c r="C52" s="67">
        <v>1</v>
      </c>
      <c r="D52" s="67" t="s">
        <v>39</v>
      </c>
      <c r="E52" s="89" t="s">
        <v>41</v>
      </c>
      <c r="F52" s="67" t="s">
        <v>94</v>
      </c>
      <c r="G52" s="79" t="s">
        <v>151</v>
      </c>
      <c r="H52" s="67" t="str">
        <f>O52</f>
        <v>Mercredi</v>
      </c>
      <c r="I52" s="219" t="s">
        <v>243</v>
      </c>
      <c r="J52" s="67" t="s">
        <v>314</v>
      </c>
      <c r="K52" s="67" t="s">
        <v>302</v>
      </c>
      <c r="L52" s="67" t="s">
        <v>280</v>
      </c>
      <c r="M52" s="67" t="s">
        <v>318</v>
      </c>
      <c r="N52" s="67" t="s">
        <v>471</v>
      </c>
      <c r="O52" s="67" t="s">
        <v>200</v>
      </c>
    </row>
    <row r="53" spans="1:15" ht="15" customHeight="1">
      <c r="C53" s="67">
        <v>2</v>
      </c>
      <c r="D53" s="67" t="s">
        <v>40</v>
      </c>
      <c r="E53" s="89" t="s">
        <v>42</v>
      </c>
      <c r="F53" s="67" t="s">
        <v>95</v>
      </c>
      <c r="G53" s="79" t="s">
        <v>152</v>
      </c>
      <c r="H53" s="67" t="str">
        <f t="shared" ref="H53:H66" si="2">O53</f>
        <v>Dimanche</v>
      </c>
      <c r="I53" s="219" t="s">
        <v>1006</v>
      </c>
      <c r="J53" s="67" t="s">
        <v>244</v>
      </c>
      <c r="K53" s="67" t="s">
        <v>303</v>
      </c>
      <c r="L53" s="67" t="s">
        <v>281</v>
      </c>
      <c r="M53" s="67" t="s">
        <v>319</v>
      </c>
      <c r="N53" s="67" t="s">
        <v>472</v>
      </c>
      <c r="O53" s="67" t="s">
        <v>201</v>
      </c>
    </row>
    <row r="54" spans="1:15" ht="15" customHeight="1">
      <c r="C54" s="67">
        <v>3</v>
      </c>
      <c r="D54" s="67" t="s">
        <v>126</v>
      </c>
      <c r="E54" s="89" t="s">
        <v>127</v>
      </c>
      <c r="F54" s="67" t="s">
        <v>129</v>
      </c>
      <c r="G54" s="79" t="s">
        <v>189</v>
      </c>
      <c r="H54" s="67" t="str">
        <f t="shared" si="2"/>
        <v xml:space="preserve">Etudes Bibliques </v>
      </c>
      <c r="I54" s="67" t="s">
        <v>279</v>
      </c>
      <c r="J54" s="67" t="s">
        <v>278</v>
      </c>
      <c r="K54" s="67" t="s">
        <v>304</v>
      </c>
      <c r="L54" s="67" t="s">
        <v>300</v>
      </c>
      <c r="M54" s="67" t="s">
        <v>320</v>
      </c>
      <c r="N54" s="67" t="s">
        <v>473</v>
      </c>
      <c r="O54" s="15" t="s">
        <v>955</v>
      </c>
    </row>
    <row r="55" spans="1:15" ht="15" customHeight="1">
      <c r="A55" s="41"/>
      <c r="C55" s="67">
        <v>4</v>
      </c>
      <c r="D55" s="34" t="s">
        <v>9</v>
      </c>
      <c r="E55" s="34" t="s">
        <v>9</v>
      </c>
      <c r="G55" s="79"/>
      <c r="H55" s="67" t="str">
        <f t="shared" si="2"/>
        <v>jan</v>
      </c>
      <c r="I55" s="82" t="s">
        <v>9</v>
      </c>
      <c r="J55" s="34" t="s">
        <v>9</v>
      </c>
      <c r="K55" s="34" t="s">
        <v>9</v>
      </c>
      <c r="M55" s="67" t="s">
        <v>9</v>
      </c>
      <c r="N55" s="67" t="s">
        <v>9</v>
      </c>
      <c r="O55" s="67" t="s">
        <v>956</v>
      </c>
    </row>
    <row r="56" spans="1:15" ht="15" customHeight="1">
      <c r="A56" s="41"/>
      <c r="C56" s="67">
        <v>5</v>
      </c>
      <c r="D56" s="34" t="s">
        <v>10</v>
      </c>
      <c r="E56" s="34" t="s">
        <v>10</v>
      </c>
      <c r="G56" s="79"/>
      <c r="H56" s="67" t="str">
        <f t="shared" si="2"/>
        <v>fév</v>
      </c>
      <c r="I56" s="82" t="s">
        <v>10</v>
      </c>
      <c r="J56" s="34" t="s">
        <v>10</v>
      </c>
      <c r="K56" s="34" t="s">
        <v>10</v>
      </c>
      <c r="M56" s="67" t="s">
        <v>203</v>
      </c>
      <c r="N56" s="67" t="s">
        <v>10</v>
      </c>
      <c r="O56" s="15" t="s">
        <v>957</v>
      </c>
    </row>
    <row r="57" spans="1:15" ht="15" customHeight="1">
      <c r="A57" s="41"/>
      <c r="C57" s="67">
        <v>6</v>
      </c>
      <c r="D57" s="34" t="s">
        <v>11</v>
      </c>
      <c r="E57" s="34" t="s">
        <v>36</v>
      </c>
      <c r="G57" s="79"/>
      <c r="H57" s="67" t="str">
        <f t="shared" si="2"/>
        <v>mar</v>
      </c>
      <c r="I57" s="82" t="s">
        <v>11</v>
      </c>
      <c r="J57" s="34" t="s">
        <v>11</v>
      </c>
      <c r="K57" s="34" t="s">
        <v>305</v>
      </c>
      <c r="M57" s="67" t="s">
        <v>11</v>
      </c>
      <c r="N57" s="67" t="s">
        <v>11</v>
      </c>
      <c r="O57" s="67" t="s">
        <v>958</v>
      </c>
    </row>
    <row r="58" spans="1:15" ht="15" customHeight="1">
      <c r="A58" s="41"/>
      <c r="C58" s="67">
        <v>7</v>
      </c>
      <c r="D58" s="34" t="s">
        <v>12</v>
      </c>
      <c r="E58" s="34" t="s">
        <v>12</v>
      </c>
      <c r="H58" s="67" t="str">
        <f t="shared" si="2"/>
        <v>avr</v>
      </c>
      <c r="I58" s="82" t="s">
        <v>12</v>
      </c>
      <c r="J58" s="34" t="s">
        <v>12</v>
      </c>
      <c r="K58" s="34" t="s">
        <v>12</v>
      </c>
      <c r="M58" s="67" t="s">
        <v>324</v>
      </c>
      <c r="N58" s="67" t="s">
        <v>12</v>
      </c>
      <c r="O58" s="67" t="s">
        <v>959</v>
      </c>
    </row>
    <row r="59" spans="1:15" ht="15" customHeight="1">
      <c r="C59" s="67">
        <v>8</v>
      </c>
      <c r="D59" s="34" t="s">
        <v>0</v>
      </c>
      <c r="E59" s="34" t="s">
        <v>1</v>
      </c>
      <c r="G59" s="79"/>
      <c r="H59" s="67" t="str">
        <f t="shared" si="2"/>
        <v>mai</v>
      </c>
      <c r="I59" s="82" t="s">
        <v>0</v>
      </c>
      <c r="J59" s="34" t="s">
        <v>0</v>
      </c>
      <c r="K59" s="34" t="s">
        <v>1</v>
      </c>
      <c r="M59" s="67" t="s">
        <v>202</v>
      </c>
      <c r="N59" s="67" t="s">
        <v>0</v>
      </c>
      <c r="O59" s="67" t="s">
        <v>960</v>
      </c>
    </row>
    <row r="60" spans="1:15" ht="15" customHeight="1">
      <c r="C60" s="67">
        <v>9</v>
      </c>
      <c r="D60" s="34" t="s">
        <v>2</v>
      </c>
      <c r="E60" s="34" t="s">
        <v>2</v>
      </c>
      <c r="G60" s="79"/>
      <c r="H60" s="67" t="str">
        <f t="shared" si="2"/>
        <v>juin</v>
      </c>
      <c r="I60" s="82" t="s">
        <v>2</v>
      </c>
      <c r="J60" s="34" t="s">
        <v>2</v>
      </c>
      <c r="K60" s="34" t="s">
        <v>2</v>
      </c>
      <c r="M60" s="67" t="s">
        <v>2</v>
      </c>
      <c r="N60" s="67" t="s">
        <v>2</v>
      </c>
      <c r="O60" s="67" t="s">
        <v>961</v>
      </c>
    </row>
    <row r="61" spans="1:15" ht="15" customHeight="1">
      <c r="A61" s="41"/>
      <c r="C61" s="67">
        <v>10</v>
      </c>
      <c r="D61" s="34" t="s">
        <v>3</v>
      </c>
      <c r="E61" s="34" t="s">
        <v>3</v>
      </c>
      <c r="G61" s="79"/>
      <c r="H61" s="67" t="str">
        <f t="shared" si="2"/>
        <v>juil</v>
      </c>
      <c r="I61" s="82" t="s">
        <v>3</v>
      </c>
      <c r="J61" s="34" t="s">
        <v>3</v>
      </c>
      <c r="K61" s="34" t="s">
        <v>3</v>
      </c>
      <c r="M61" s="67" t="s">
        <v>3</v>
      </c>
      <c r="N61" s="67" t="s">
        <v>3</v>
      </c>
      <c r="O61" s="67" t="s">
        <v>962</v>
      </c>
    </row>
    <row r="62" spans="1:15" ht="15" customHeight="1">
      <c r="A62" s="41"/>
      <c r="C62" s="67">
        <v>11</v>
      </c>
      <c r="D62" s="34" t="s">
        <v>4</v>
      </c>
      <c r="E62" s="34" t="s">
        <v>4</v>
      </c>
      <c r="G62" s="79"/>
      <c r="H62" s="67" t="str">
        <f t="shared" si="2"/>
        <v>aoút</v>
      </c>
      <c r="I62" s="82" t="s">
        <v>4</v>
      </c>
      <c r="J62" s="34" t="s">
        <v>4</v>
      </c>
      <c r="K62" s="34" t="s">
        <v>4</v>
      </c>
      <c r="M62" s="67" t="s">
        <v>321</v>
      </c>
      <c r="N62" s="67" t="s">
        <v>4</v>
      </c>
      <c r="O62" s="67" t="s">
        <v>963</v>
      </c>
    </row>
    <row r="63" spans="1:15" ht="15" customHeight="1">
      <c r="A63" s="41"/>
      <c r="C63" s="67">
        <v>12</v>
      </c>
      <c r="D63" s="34" t="s">
        <v>5</v>
      </c>
      <c r="E63" s="34" t="s">
        <v>5</v>
      </c>
      <c r="G63" s="79"/>
      <c r="H63" s="67" t="str">
        <f t="shared" si="2"/>
        <v>sept</v>
      </c>
      <c r="I63" s="82" t="s">
        <v>5</v>
      </c>
      <c r="J63" s="34" t="s">
        <v>5</v>
      </c>
      <c r="K63" s="34" t="s">
        <v>5</v>
      </c>
      <c r="M63" s="67" t="s">
        <v>322</v>
      </c>
      <c r="N63" s="67" t="s">
        <v>5</v>
      </c>
      <c r="O63" s="67" t="s">
        <v>964</v>
      </c>
    </row>
    <row r="64" spans="1:15" ht="15" customHeight="1">
      <c r="A64" s="41"/>
      <c r="C64" s="67">
        <v>13</v>
      </c>
      <c r="D64" s="34" t="s">
        <v>6</v>
      </c>
      <c r="E64" s="34" t="s">
        <v>34</v>
      </c>
      <c r="G64" s="79"/>
      <c r="H64" s="67" t="str">
        <f t="shared" si="2"/>
        <v>oct</v>
      </c>
      <c r="I64" s="82" t="s">
        <v>6</v>
      </c>
      <c r="J64" s="34" t="s">
        <v>6</v>
      </c>
      <c r="K64" s="34" t="s">
        <v>34</v>
      </c>
      <c r="M64" s="67" t="s">
        <v>323</v>
      </c>
      <c r="N64" s="67" t="s">
        <v>6</v>
      </c>
      <c r="O64" s="67" t="s">
        <v>965</v>
      </c>
    </row>
    <row r="65" spans="1:15" ht="15" customHeight="1">
      <c r="A65" s="33"/>
      <c r="C65" s="67">
        <v>14</v>
      </c>
      <c r="D65" s="34" t="s">
        <v>7</v>
      </c>
      <c r="E65" s="34" t="s">
        <v>7</v>
      </c>
      <c r="G65" s="79"/>
      <c r="H65" s="67" t="str">
        <f t="shared" si="2"/>
        <v>nov</v>
      </c>
      <c r="I65" s="82" t="s">
        <v>7</v>
      </c>
      <c r="J65" s="34" t="s">
        <v>7</v>
      </c>
      <c r="K65" s="34" t="s">
        <v>7</v>
      </c>
      <c r="M65" s="67" t="s">
        <v>7</v>
      </c>
      <c r="N65" s="67" t="s">
        <v>7</v>
      </c>
      <c r="O65" s="67" t="s">
        <v>966</v>
      </c>
    </row>
    <row r="66" spans="1:15" ht="17.399999999999999" customHeight="1">
      <c r="A66" s="41"/>
      <c r="C66" s="67">
        <v>15</v>
      </c>
      <c r="D66" s="34" t="s">
        <v>8</v>
      </c>
      <c r="E66" s="34" t="s">
        <v>35</v>
      </c>
      <c r="G66" s="79"/>
      <c r="H66" s="67" t="str">
        <f t="shared" si="2"/>
        <v>déc</v>
      </c>
      <c r="I66" s="82" t="s">
        <v>8</v>
      </c>
      <c r="J66" s="34" t="s">
        <v>8</v>
      </c>
      <c r="K66" s="34" t="s">
        <v>35</v>
      </c>
      <c r="M66" s="67" t="s">
        <v>35</v>
      </c>
      <c r="N66" s="67" t="s">
        <v>8</v>
      </c>
      <c r="O66" s="15" t="s">
        <v>967</v>
      </c>
    </row>
    <row r="67" spans="1:15" ht="17.399999999999999" customHeight="1">
      <c r="A67" s="41"/>
      <c r="D67" s="34"/>
      <c r="E67" s="34"/>
      <c r="G67" s="79"/>
      <c r="I67" s="82"/>
      <c r="J67" s="34"/>
      <c r="K67" s="34"/>
      <c r="N67" s="77"/>
    </row>
    <row r="68" spans="1:15" ht="17.399999999999999" customHeight="1">
      <c r="A68" s="41"/>
      <c r="D68" s="34"/>
      <c r="E68" s="34"/>
      <c r="G68" s="79"/>
      <c r="I68" s="82"/>
      <c r="J68" s="34"/>
      <c r="K68" s="34"/>
      <c r="N68" s="77"/>
    </row>
    <row r="69" spans="1:15" ht="17.399999999999999" customHeight="1">
      <c r="A69" s="41"/>
      <c r="C69" s="67">
        <v>101</v>
      </c>
      <c r="D69" s="34" t="s">
        <v>697</v>
      </c>
      <c r="E69" s="89" t="s">
        <v>742</v>
      </c>
      <c r="F69" s="118" t="s">
        <v>918</v>
      </c>
      <c r="G69" s="34" t="s">
        <v>929</v>
      </c>
      <c r="H69" s="67" t="s">
        <v>791</v>
      </c>
      <c r="I69" s="82" t="s">
        <v>866</v>
      </c>
      <c r="J69" s="67" t="s">
        <v>745</v>
      </c>
      <c r="K69" s="34" t="s">
        <v>929</v>
      </c>
      <c r="L69" s="67" t="s">
        <v>283</v>
      </c>
      <c r="M69" s="67" t="s">
        <v>839</v>
      </c>
      <c r="N69" s="67" t="s">
        <v>893</v>
      </c>
      <c r="O69" s="67" t="s">
        <v>791</v>
      </c>
    </row>
    <row r="70" spans="1:15" ht="17.399999999999999" customHeight="1">
      <c r="A70" s="41"/>
      <c r="C70" s="67">
        <v>102</v>
      </c>
      <c r="D70" s="34" t="s">
        <v>698</v>
      </c>
      <c r="E70" s="34" t="s">
        <v>698</v>
      </c>
      <c r="F70" s="118" t="s">
        <v>919</v>
      </c>
      <c r="G70" s="34" t="s">
        <v>771</v>
      </c>
      <c r="H70" s="67" t="s">
        <v>792</v>
      </c>
      <c r="I70" s="82" t="s">
        <v>869</v>
      </c>
      <c r="J70" s="67" t="s">
        <v>746</v>
      </c>
      <c r="K70" s="34" t="s">
        <v>771</v>
      </c>
      <c r="L70" s="67" t="s">
        <v>284</v>
      </c>
      <c r="M70" s="67" t="s">
        <v>840</v>
      </c>
      <c r="N70" s="67" t="s">
        <v>894</v>
      </c>
      <c r="O70" s="67" t="s">
        <v>792</v>
      </c>
    </row>
    <row r="71" spans="1:15" ht="17.399999999999999" customHeight="1">
      <c r="A71" s="41"/>
      <c r="C71" s="67">
        <v>103</v>
      </c>
      <c r="D71" s="34" t="s">
        <v>699</v>
      </c>
      <c r="E71" s="34" t="s">
        <v>722</v>
      </c>
      <c r="F71" s="118" t="s">
        <v>920</v>
      </c>
      <c r="G71" s="34" t="s">
        <v>834</v>
      </c>
      <c r="H71" s="67" t="s">
        <v>793</v>
      </c>
      <c r="I71" s="82" t="s">
        <v>870</v>
      </c>
      <c r="J71" s="67" t="s">
        <v>747</v>
      </c>
      <c r="K71" s="34" t="s">
        <v>834</v>
      </c>
      <c r="L71" s="67" t="s">
        <v>811</v>
      </c>
      <c r="M71" s="67" t="s">
        <v>841</v>
      </c>
      <c r="N71" s="67" t="s">
        <v>895</v>
      </c>
      <c r="O71" s="67" t="s">
        <v>793</v>
      </c>
    </row>
    <row r="72" spans="1:15" ht="17.399999999999999" customHeight="1">
      <c r="A72" s="41"/>
      <c r="C72" s="67">
        <v>104</v>
      </c>
      <c r="D72" s="34" t="s">
        <v>700</v>
      </c>
      <c r="E72" s="34" t="s">
        <v>723</v>
      </c>
      <c r="F72" s="118" t="s">
        <v>921</v>
      </c>
      <c r="G72" s="34" t="s">
        <v>772</v>
      </c>
      <c r="H72" s="67" t="s">
        <v>794</v>
      </c>
      <c r="I72" s="82" t="s">
        <v>871</v>
      </c>
      <c r="J72" s="67" t="s">
        <v>748</v>
      </c>
      <c r="K72" s="34" t="s">
        <v>772</v>
      </c>
      <c r="L72" s="67" t="s">
        <v>812</v>
      </c>
      <c r="M72" s="67" t="s">
        <v>1749</v>
      </c>
      <c r="N72" s="67" t="s">
        <v>896</v>
      </c>
      <c r="O72" s="67" t="s">
        <v>794</v>
      </c>
    </row>
    <row r="73" spans="1:15" ht="17.399999999999999" customHeight="1">
      <c r="A73" s="41"/>
      <c r="C73" s="67">
        <v>105</v>
      </c>
      <c r="D73" s="34" t="s">
        <v>693</v>
      </c>
      <c r="E73" s="34" t="s">
        <v>724</v>
      </c>
      <c r="F73" s="118" t="s">
        <v>922</v>
      </c>
      <c r="G73" s="34" t="s">
        <v>773</v>
      </c>
      <c r="H73" s="67" t="s">
        <v>795</v>
      </c>
      <c r="I73" s="82" t="s">
        <v>872</v>
      </c>
      <c r="J73" s="67" t="s">
        <v>749</v>
      </c>
      <c r="K73" s="34" t="s">
        <v>773</v>
      </c>
      <c r="L73" s="67" t="s">
        <v>813</v>
      </c>
      <c r="M73" s="67" t="s">
        <v>1750</v>
      </c>
      <c r="N73" s="67" t="s">
        <v>897</v>
      </c>
      <c r="O73" s="67" t="s">
        <v>795</v>
      </c>
    </row>
    <row r="74" spans="1:15" ht="17.399999999999999" customHeight="1">
      <c r="A74" s="41"/>
      <c r="C74" s="67">
        <v>106</v>
      </c>
      <c r="D74" s="34" t="s">
        <v>701</v>
      </c>
      <c r="E74" s="34" t="s">
        <v>725</v>
      </c>
      <c r="F74" s="118" t="s">
        <v>701</v>
      </c>
      <c r="G74" s="34" t="s">
        <v>774</v>
      </c>
      <c r="H74" s="67" t="s">
        <v>796</v>
      </c>
      <c r="I74" s="82" t="s">
        <v>873</v>
      </c>
      <c r="J74" s="67" t="s">
        <v>750</v>
      </c>
      <c r="K74" s="34" t="s">
        <v>774</v>
      </c>
      <c r="L74" s="67" t="s">
        <v>774</v>
      </c>
      <c r="M74" s="67" t="s">
        <v>796</v>
      </c>
      <c r="N74" s="67" t="s">
        <v>701</v>
      </c>
      <c r="O74" s="67" t="s">
        <v>796</v>
      </c>
    </row>
    <row r="75" spans="1:15" ht="17.399999999999999" customHeight="1">
      <c r="A75" s="41"/>
      <c r="C75" s="67">
        <v>107</v>
      </c>
      <c r="D75" s="34" t="s">
        <v>702</v>
      </c>
      <c r="E75" s="34" t="s">
        <v>726</v>
      </c>
      <c r="F75" s="118" t="s">
        <v>833</v>
      </c>
      <c r="G75" s="34" t="s">
        <v>775</v>
      </c>
      <c r="H75" s="67" t="s">
        <v>797</v>
      </c>
      <c r="I75" s="82" t="s">
        <v>874</v>
      </c>
      <c r="J75" s="67" t="s">
        <v>751</v>
      </c>
      <c r="K75" s="34" t="s">
        <v>775</v>
      </c>
      <c r="L75" s="67" t="s">
        <v>286</v>
      </c>
      <c r="M75" s="67" t="s">
        <v>1751</v>
      </c>
      <c r="N75" s="67" t="s">
        <v>898</v>
      </c>
      <c r="O75" s="67" t="s">
        <v>797</v>
      </c>
    </row>
    <row r="76" spans="1:15" ht="17.399999999999999" customHeight="1">
      <c r="A76" s="41"/>
      <c r="C76" s="67">
        <v>108</v>
      </c>
      <c r="D76" s="34" t="s">
        <v>703</v>
      </c>
      <c r="E76" s="34" t="s">
        <v>494</v>
      </c>
      <c r="F76" s="118" t="s">
        <v>525</v>
      </c>
      <c r="G76" s="34" t="s">
        <v>776</v>
      </c>
      <c r="H76" s="67" t="s">
        <v>703</v>
      </c>
      <c r="I76" s="82" t="s">
        <v>993</v>
      </c>
      <c r="J76" s="67" t="s">
        <v>752</v>
      </c>
      <c r="K76" s="34" t="s">
        <v>776</v>
      </c>
      <c r="L76" s="67" t="s">
        <v>814</v>
      </c>
      <c r="M76" s="67" t="s">
        <v>525</v>
      </c>
      <c r="N76" s="67" t="s">
        <v>899</v>
      </c>
      <c r="O76" s="67" t="s">
        <v>703</v>
      </c>
    </row>
    <row r="77" spans="1:15" ht="15" customHeight="1">
      <c r="A77" s="82"/>
      <c r="C77" s="67">
        <v>109</v>
      </c>
      <c r="D77" s="33" t="s">
        <v>354</v>
      </c>
      <c r="E77" s="33" t="s">
        <v>354</v>
      </c>
      <c r="F77" s="117" t="s">
        <v>357</v>
      </c>
      <c r="G77" s="79" t="s">
        <v>358</v>
      </c>
      <c r="H77" s="67" t="s">
        <v>354</v>
      </c>
      <c r="I77" s="11" t="s">
        <v>994</v>
      </c>
      <c r="J77" s="67" t="s">
        <v>1603</v>
      </c>
      <c r="K77" s="33" t="s">
        <v>358</v>
      </c>
      <c r="L77" s="120" t="s">
        <v>1776</v>
      </c>
      <c r="M77" s="67" t="s">
        <v>354</v>
      </c>
      <c r="N77" s="67" t="s">
        <v>481</v>
      </c>
      <c r="O77" s="67" t="s">
        <v>354</v>
      </c>
    </row>
    <row r="78" spans="1:15" ht="15" customHeight="1">
      <c r="A78" s="82"/>
      <c r="C78" s="67">
        <v>110</v>
      </c>
      <c r="D78" s="33" t="s">
        <v>16</v>
      </c>
      <c r="E78" s="33" t="s">
        <v>16</v>
      </c>
      <c r="F78" s="117" t="s">
        <v>102</v>
      </c>
      <c r="G78" s="79" t="s">
        <v>159</v>
      </c>
      <c r="H78" s="67" t="s">
        <v>16</v>
      </c>
      <c r="I78" s="11" t="s">
        <v>995</v>
      </c>
      <c r="J78" s="67" t="s">
        <v>1604</v>
      </c>
      <c r="K78" s="33" t="s">
        <v>159</v>
      </c>
      <c r="L78" s="120" t="s">
        <v>1777</v>
      </c>
      <c r="M78" s="67" t="s">
        <v>16</v>
      </c>
      <c r="N78" s="67" t="s">
        <v>481</v>
      </c>
      <c r="O78" s="67" t="s">
        <v>16</v>
      </c>
    </row>
    <row r="79" spans="1:15" ht="15" customHeight="1">
      <c r="A79" s="34"/>
      <c r="C79" s="67">
        <v>111</v>
      </c>
      <c r="D79" s="33" t="s">
        <v>369</v>
      </c>
      <c r="E79" s="33" t="s">
        <v>370</v>
      </c>
      <c r="F79" s="118" t="s">
        <v>399</v>
      </c>
      <c r="G79" s="33" t="s">
        <v>435</v>
      </c>
      <c r="H79" s="82" t="s">
        <v>430</v>
      </c>
      <c r="I79" s="220" t="s">
        <v>949</v>
      </c>
      <c r="J79" s="67" t="s">
        <v>415</v>
      </c>
      <c r="K79" s="33" t="s">
        <v>395</v>
      </c>
      <c r="L79" s="33" t="s">
        <v>388</v>
      </c>
      <c r="M79" s="67" t="s">
        <v>842</v>
      </c>
      <c r="N79" s="67" t="s">
        <v>489</v>
      </c>
      <c r="O79" s="82" t="s">
        <v>430</v>
      </c>
    </row>
    <row r="80" spans="1:15" ht="15" customHeight="1">
      <c r="A80" s="34"/>
      <c r="C80" s="67">
        <v>112</v>
      </c>
      <c r="D80" s="33" t="s">
        <v>456</v>
      </c>
      <c r="E80" s="33" t="s">
        <v>457</v>
      </c>
      <c r="F80" s="118" t="s">
        <v>458</v>
      </c>
      <c r="G80" s="33" t="s">
        <v>459</v>
      </c>
      <c r="H80" s="82" t="s">
        <v>460</v>
      </c>
      <c r="I80" s="220" t="s">
        <v>950</v>
      </c>
      <c r="J80" s="67" t="s">
        <v>461</v>
      </c>
      <c r="K80" s="33" t="s">
        <v>462</v>
      </c>
      <c r="L80" s="33" t="s">
        <v>463</v>
      </c>
      <c r="M80" s="67" t="s">
        <v>843</v>
      </c>
      <c r="N80" s="67" t="s">
        <v>490</v>
      </c>
      <c r="O80" s="82" t="s">
        <v>460</v>
      </c>
    </row>
    <row r="81" spans="1:15" ht="14.9" customHeight="1">
      <c r="A81" s="34"/>
      <c r="C81" s="67">
        <v>113</v>
      </c>
      <c r="D81" s="33" t="s">
        <v>704</v>
      </c>
      <c r="E81" s="33" t="s">
        <v>727</v>
      </c>
      <c r="F81" s="118" t="s">
        <v>923</v>
      </c>
      <c r="G81" s="33" t="s">
        <v>769</v>
      </c>
      <c r="H81" s="82" t="s">
        <v>798</v>
      </c>
      <c r="I81" s="220" t="s">
        <v>875</v>
      </c>
      <c r="J81" s="67" t="s">
        <v>743</v>
      </c>
      <c r="K81" s="33" t="s">
        <v>1128</v>
      </c>
      <c r="L81" s="33" t="s">
        <v>815</v>
      </c>
      <c r="M81" s="67" t="s">
        <v>844</v>
      </c>
      <c r="N81" s="67" t="s">
        <v>900</v>
      </c>
      <c r="O81" s="82" t="s">
        <v>798</v>
      </c>
    </row>
    <row r="82" spans="1:15" ht="15" customHeight="1">
      <c r="A82" s="34"/>
      <c r="C82" s="67">
        <v>114</v>
      </c>
      <c r="D82" s="33" t="s">
        <v>705</v>
      </c>
      <c r="E82" s="33" t="s">
        <v>728</v>
      </c>
      <c r="F82" s="118" t="s">
        <v>924</v>
      </c>
      <c r="G82" s="33" t="s">
        <v>770</v>
      </c>
      <c r="H82" s="82" t="s">
        <v>799</v>
      </c>
      <c r="I82" s="220" t="s">
        <v>876</v>
      </c>
      <c r="J82" s="67" t="s">
        <v>744</v>
      </c>
      <c r="K82" s="33" t="s">
        <v>1129</v>
      </c>
      <c r="L82" s="33" t="s">
        <v>816</v>
      </c>
      <c r="M82" s="67" t="s">
        <v>1752</v>
      </c>
      <c r="N82" s="67" t="s">
        <v>901</v>
      </c>
      <c r="O82" s="82" t="s">
        <v>799</v>
      </c>
    </row>
    <row r="83" spans="1:15" ht="15" customHeight="1">
      <c r="A83" s="34"/>
      <c r="C83" s="67">
        <v>115</v>
      </c>
      <c r="D83" s="33" t="s">
        <v>777</v>
      </c>
      <c r="E83" s="33" t="s">
        <v>729</v>
      </c>
      <c r="F83" s="118" t="s">
        <v>777</v>
      </c>
      <c r="G83" s="33" t="s">
        <v>777</v>
      </c>
      <c r="H83" s="82" t="s">
        <v>800</v>
      </c>
      <c r="I83" s="220" t="s">
        <v>867</v>
      </c>
      <c r="J83" s="67" t="s">
        <v>753</v>
      </c>
      <c r="K83" s="33" t="s">
        <v>777</v>
      </c>
      <c r="L83" s="33" t="s">
        <v>729</v>
      </c>
      <c r="M83" s="67" t="s">
        <v>800</v>
      </c>
      <c r="N83" s="67" t="s">
        <v>902</v>
      </c>
      <c r="O83" s="82" t="s">
        <v>800</v>
      </c>
    </row>
    <row r="84" spans="1:15" ht="15" customHeight="1">
      <c r="A84" s="34"/>
      <c r="C84" s="67">
        <v>116</v>
      </c>
      <c r="D84" s="33" t="s">
        <v>1201</v>
      </c>
      <c r="E84" s="33" t="s">
        <v>730</v>
      </c>
      <c r="F84" s="118" t="s">
        <v>706</v>
      </c>
      <c r="G84" s="33" t="s">
        <v>706</v>
      </c>
      <c r="H84" s="82" t="s">
        <v>801</v>
      </c>
      <c r="I84" s="220" t="s">
        <v>877</v>
      </c>
      <c r="J84" s="67" t="s">
        <v>754</v>
      </c>
      <c r="K84" s="33" t="s">
        <v>706</v>
      </c>
      <c r="L84" s="33" t="s">
        <v>706</v>
      </c>
      <c r="M84" s="67" t="s">
        <v>1753</v>
      </c>
      <c r="N84" s="67" t="s">
        <v>706</v>
      </c>
      <c r="O84" s="82" t="s">
        <v>801</v>
      </c>
    </row>
    <row r="85" spans="1:15" ht="15" customHeight="1">
      <c r="A85" s="34"/>
      <c r="C85" s="67">
        <v>117</v>
      </c>
      <c r="D85" s="33" t="s">
        <v>694</v>
      </c>
      <c r="E85" s="33" t="s">
        <v>731</v>
      </c>
      <c r="F85" s="118" t="s">
        <v>817</v>
      </c>
      <c r="G85" s="33" t="s">
        <v>778</v>
      </c>
      <c r="H85" s="82" t="s">
        <v>694</v>
      </c>
      <c r="I85" s="220" t="s">
        <v>878</v>
      </c>
      <c r="J85" s="67" t="s">
        <v>755</v>
      </c>
      <c r="K85" s="33" t="s">
        <v>778</v>
      </c>
      <c r="L85" s="33" t="s">
        <v>817</v>
      </c>
      <c r="M85" s="67" t="s">
        <v>731</v>
      </c>
      <c r="N85" s="67" t="s">
        <v>903</v>
      </c>
      <c r="O85" s="82" t="s">
        <v>694</v>
      </c>
    </row>
    <row r="86" spans="1:15" ht="15" customHeight="1">
      <c r="A86" s="34"/>
      <c r="C86" s="67">
        <v>118</v>
      </c>
      <c r="D86" s="33" t="s">
        <v>46</v>
      </c>
      <c r="E86" s="33" t="s">
        <v>46</v>
      </c>
      <c r="F86" s="118" t="s">
        <v>904</v>
      </c>
      <c r="G86" s="33" t="s">
        <v>779</v>
      </c>
      <c r="H86" s="82" t="s">
        <v>46</v>
      </c>
      <c r="I86" s="220" t="s">
        <v>868</v>
      </c>
      <c r="J86" s="67" t="s">
        <v>756</v>
      </c>
      <c r="K86" s="33" t="s">
        <v>779</v>
      </c>
      <c r="L86" s="33" t="s">
        <v>818</v>
      </c>
      <c r="M86" s="67" t="s">
        <v>46</v>
      </c>
      <c r="N86" s="67" t="s">
        <v>904</v>
      </c>
      <c r="O86" s="82" t="s">
        <v>46</v>
      </c>
    </row>
    <row r="87" spans="1:15" ht="15" customHeight="1">
      <c r="A87" s="41"/>
      <c r="C87" s="67">
        <v>119</v>
      </c>
      <c r="D87" s="33" t="s">
        <v>15</v>
      </c>
      <c r="E87" s="33" t="s">
        <v>15</v>
      </c>
      <c r="F87" s="117" t="s">
        <v>292</v>
      </c>
      <c r="G87" s="79" t="s">
        <v>160</v>
      </c>
      <c r="H87" s="67" t="s">
        <v>209</v>
      </c>
      <c r="I87" s="11" t="s">
        <v>996</v>
      </c>
      <c r="J87" s="67" t="s">
        <v>246</v>
      </c>
      <c r="K87" s="33" t="s">
        <v>160</v>
      </c>
      <c r="L87" s="120" t="s">
        <v>287</v>
      </c>
      <c r="M87" s="67" t="s">
        <v>330</v>
      </c>
      <c r="N87" s="67" t="s">
        <v>482</v>
      </c>
      <c r="O87" s="67" t="s">
        <v>209</v>
      </c>
    </row>
    <row r="88" spans="1:15" ht="15" customHeight="1">
      <c r="A88" s="41"/>
      <c r="C88" s="67">
        <v>120</v>
      </c>
      <c r="D88" s="33" t="s">
        <v>707</v>
      </c>
      <c r="E88" s="33" t="s">
        <v>732</v>
      </c>
      <c r="F88" s="117" t="s">
        <v>948</v>
      </c>
      <c r="G88" s="33" t="s">
        <v>780</v>
      </c>
      <c r="H88" s="67" t="s">
        <v>802</v>
      </c>
      <c r="I88" s="221" t="s">
        <v>879</v>
      </c>
      <c r="J88" s="67" t="s">
        <v>757</v>
      </c>
      <c r="K88" s="33" t="s">
        <v>780</v>
      </c>
      <c r="L88" s="120" t="s">
        <v>288</v>
      </c>
      <c r="M88" s="67" t="s">
        <v>845</v>
      </c>
      <c r="N88" s="67" t="s">
        <v>905</v>
      </c>
      <c r="O88" s="67" t="s">
        <v>802</v>
      </c>
    </row>
    <row r="89" spans="1:15" ht="15" customHeight="1">
      <c r="A89" s="34"/>
      <c r="C89" s="67">
        <v>121</v>
      </c>
      <c r="D89" s="33" t="s">
        <v>365</v>
      </c>
      <c r="E89" s="82" t="s">
        <v>367</v>
      </c>
      <c r="F89" s="118" t="s">
        <v>398</v>
      </c>
      <c r="G89" s="33" t="s">
        <v>434</v>
      </c>
      <c r="H89" s="116" t="s">
        <v>425</v>
      </c>
      <c r="I89" s="220" t="s">
        <v>868</v>
      </c>
      <c r="J89" s="67" t="s">
        <v>413</v>
      </c>
      <c r="K89" s="33" t="s">
        <v>394</v>
      </c>
      <c r="L89" s="120" t="s">
        <v>386</v>
      </c>
      <c r="M89" s="67" t="s">
        <v>1754</v>
      </c>
      <c r="N89" s="67" t="s">
        <v>487</v>
      </c>
      <c r="O89" s="116" t="s">
        <v>425</v>
      </c>
    </row>
    <row r="90" spans="1:15" ht="15" customHeight="1">
      <c r="A90" s="34"/>
      <c r="C90" s="67">
        <v>122</v>
      </c>
      <c r="D90" s="33" t="s">
        <v>708</v>
      </c>
      <c r="E90" s="33" t="s">
        <v>733</v>
      </c>
      <c r="F90" s="118" t="s">
        <v>835</v>
      </c>
      <c r="G90" s="33" t="s">
        <v>781</v>
      </c>
      <c r="H90" s="116" t="s">
        <v>803</v>
      </c>
      <c r="I90" s="220" t="s">
        <v>880</v>
      </c>
      <c r="J90" s="67" t="s">
        <v>838</v>
      </c>
      <c r="K90" s="33" t="s">
        <v>781</v>
      </c>
      <c r="L90" s="120" t="s">
        <v>819</v>
      </c>
      <c r="M90" s="67" t="s">
        <v>846</v>
      </c>
      <c r="N90" s="67" t="s">
        <v>906</v>
      </c>
      <c r="O90" s="116" t="s">
        <v>803</v>
      </c>
    </row>
    <row r="91" spans="1:15" ht="15" customHeight="1">
      <c r="A91" s="34"/>
      <c r="C91" s="67">
        <v>123</v>
      </c>
      <c r="D91" s="33" t="s">
        <v>470</v>
      </c>
      <c r="E91" s="33" t="s">
        <v>510</v>
      </c>
      <c r="F91" s="118" t="s">
        <v>251</v>
      </c>
      <c r="G91" s="116" t="s">
        <v>251</v>
      </c>
      <c r="H91" s="82" t="s">
        <v>592</v>
      </c>
      <c r="I91" s="222" t="s">
        <v>542</v>
      </c>
      <c r="J91" s="67" t="s">
        <v>542</v>
      </c>
      <c r="K91" s="116" t="s">
        <v>251</v>
      </c>
      <c r="L91" s="120" t="s">
        <v>546</v>
      </c>
      <c r="M91" s="222" t="s">
        <v>1755</v>
      </c>
      <c r="N91" s="222" t="s">
        <v>907</v>
      </c>
      <c r="O91" s="82" t="s">
        <v>592</v>
      </c>
    </row>
    <row r="92" spans="1:15" ht="14.9" customHeight="1">
      <c r="A92" s="34"/>
      <c r="C92" s="67">
        <v>124</v>
      </c>
      <c r="D92" s="33" t="s">
        <v>709</v>
      </c>
      <c r="E92" s="33" t="s">
        <v>734</v>
      </c>
      <c r="F92" s="118" t="s">
        <v>734</v>
      </c>
      <c r="G92" s="116" t="s">
        <v>782</v>
      </c>
      <c r="H92" s="82" t="s">
        <v>804</v>
      </c>
      <c r="I92" s="222" t="s">
        <v>881</v>
      </c>
      <c r="J92" s="67" t="s">
        <v>758</v>
      </c>
      <c r="K92" s="116" t="s">
        <v>782</v>
      </c>
      <c r="L92" s="120" t="s">
        <v>782</v>
      </c>
      <c r="M92" s="222" t="s">
        <v>1756</v>
      </c>
      <c r="N92" s="222" t="s">
        <v>734</v>
      </c>
      <c r="O92" s="82" t="s">
        <v>804</v>
      </c>
    </row>
    <row r="93" spans="1:15" ht="14.9" customHeight="1">
      <c r="A93" s="34"/>
      <c r="C93" s="67">
        <v>125</v>
      </c>
      <c r="D93" s="33" t="s">
        <v>710</v>
      </c>
      <c r="E93" s="33" t="s">
        <v>735</v>
      </c>
      <c r="F93" s="118" t="s">
        <v>529</v>
      </c>
      <c r="G93" s="116" t="s">
        <v>783</v>
      </c>
      <c r="H93" s="82" t="s">
        <v>710</v>
      </c>
      <c r="I93" s="222" t="s">
        <v>882</v>
      </c>
      <c r="J93" s="67" t="s">
        <v>565</v>
      </c>
      <c r="K93" s="116" t="s">
        <v>783</v>
      </c>
      <c r="L93" s="120" t="s">
        <v>820</v>
      </c>
      <c r="M93" s="222" t="s">
        <v>1757</v>
      </c>
      <c r="N93" s="222" t="s">
        <v>908</v>
      </c>
      <c r="O93" s="82" t="s">
        <v>710</v>
      </c>
    </row>
    <row r="94" spans="1:15" ht="14.9" customHeight="1">
      <c r="A94" s="34"/>
      <c r="C94" s="67">
        <v>126</v>
      </c>
      <c r="D94" s="33" t="s">
        <v>711</v>
      </c>
      <c r="E94" s="33" t="s">
        <v>736</v>
      </c>
      <c r="F94" s="118" t="s">
        <v>925</v>
      </c>
      <c r="G94" s="116" t="s">
        <v>784</v>
      </c>
      <c r="H94" s="82" t="s">
        <v>805</v>
      </c>
      <c r="I94" s="222" t="s">
        <v>883</v>
      </c>
      <c r="J94" s="67" t="s">
        <v>759</v>
      </c>
      <c r="K94" s="116" t="s">
        <v>784</v>
      </c>
      <c r="L94" s="120" t="s">
        <v>821</v>
      </c>
      <c r="M94" s="222" t="s">
        <v>1758</v>
      </c>
      <c r="N94" s="222" t="s">
        <v>821</v>
      </c>
      <c r="O94" s="82" t="s">
        <v>805</v>
      </c>
    </row>
    <row r="95" spans="1:15" ht="14.9" customHeight="1">
      <c r="A95" s="34"/>
      <c r="C95" s="67">
        <v>127</v>
      </c>
      <c r="D95" s="33" t="s">
        <v>712</v>
      </c>
      <c r="E95" s="33" t="s">
        <v>737</v>
      </c>
      <c r="F95" s="118" t="s">
        <v>926</v>
      </c>
      <c r="G95" s="116" t="s">
        <v>785</v>
      </c>
      <c r="H95" s="82" t="s">
        <v>712</v>
      </c>
      <c r="I95" s="222" t="s">
        <v>884</v>
      </c>
      <c r="J95" s="67" t="s">
        <v>760</v>
      </c>
      <c r="K95" s="116" t="s">
        <v>785</v>
      </c>
      <c r="L95" s="120" t="s">
        <v>822</v>
      </c>
      <c r="M95" s="222" t="s">
        <v>1759</v>
      </c>
      <c r="N95" s="222" t="s">
        <v>822</v>
      </c>
      <c r="O95" s="82" t="s">
        <v>712</v>
      </c>
    </row>
    <row r="96" spans="1:15" ht="14.9" customHeight="1">
      <c r="A96" s="34"/>
      <c r="C96" s="67">
        <v>128</v>
      </c>
      <c r="D96" s="33" t="s">
        <v>713</v>
      </c>
      <c r="E96" s="33" t="s">
        <v>738</v>
      </c>
      <c r="F96" s="118" t="s">
        <v>713</v>
      </c>
      <c r="G96" s="116" t="s">
        <v>713</v>
      </c>
      <c r="H96" s="82" t="s">
        <v>806</v>
      </c>
      <c r="I96" s="222" t="s">
        <v>885</v>
      </c>
      <c r="J96" s="67" t="s">
        <v>761</v>
      </c>
      <c r="K96" s="116" t="s">
        <v>713</v>
      </c>
      <c r="L96" s="120" t="s">
        <v>713</v>
      </c>
      <c r="M96" s="222" t="s">
        <v>847</v>
      </c>
      <c r="N96" s="222" t="s">
        <v>713</v>
      </c>
      <c r="O96" s="82" t="s">
        <v>806</v>
      </c>
    </row>
    <row r="97" spans="1:15" ht="14.9" customHeight="1">
      <c r="A97" s="34"/>
      <c r="C97" s="67">
        <v>129</v>
      </c>
      <c r="D97" s="33" t="s">
        <v>714</v>
      </c>
      <c r="E97" s="33" t="s">
        <v>739</v>
      </c>
      <c r="F97" s="118" t="s">
        <v>836</v>
      </c>
      <c r="G97" s="116" t="s">
        <v>786</v>
      </c>
      <c r="H97" s="82" t="s">
        <v>739</v>
      </c>
      <c r="I97" s="222" t="s">
        <v>886</v>
      </c>
      <c r="J97" s="67" t="s">
        <v>762</v>
      </c>
      <c r="K97" s="116" t="s">
        <v>786</v>
      </c>
      <c r="L97" s="120" t="s">
        <v>823</v>
      </c>
      <c r="M97" s="222" t="s">
        <v>714</v>
      </c>
      <c r="N97" s="222" t="s">
        <v>909</v>
      </c>
      <c r="O97" s="82" t="s">
        <v>739</v>
      </c>
    </row>
    <row r="98" spans="1:15" ht="14.9" customHeight="1">
      <c r="A98" s="34"/>
      <c r="C98" s="67">
        <v>130</v>
      </c>
      <c r="D98" s="33" t="s">
        <v>715</v>
      </c>
      <c r="E98" s="33" t="s">
        <v>715</v>
      </c>
      <c r="F98" s="118" t="s">
        <v>787</v>
      </c>
      <c r="G98" s="116" t="s">
        <v>787</v>
      </c>
      <c r="H98" s="82" t="s">
        <v>715</v>
      </c>
      <c r="I98" s="222" t="s">
        <v>887</v>
      </c>
      <c r="J98" s="67" t="s">
        <v>763</v>
      </c>
      <c r="K98" s="116" t="s">
        <v>787</v>
      </c>
      <c r="L98" s="120" t="s">
        <v>824</v>
      </c>
      <c r="M98" s="222" t="s">
        <v>1760</v>
      </c>
      <c r="N98" s="222" t="s">
        <v>824</v>
      </c>
      <c r="O98" s="82" t="s">
        <v>715</v>
      </c>
    </row>
    <row r="99" spans="1:15" ht="14.9" customHeight="1">
      <c r="A99" s="34"/>
      <c r="C99" s="67">
        <v>131</v>
      </c>
      <c r="D99" s="33" t="s">
        <v>716</v>
      </c>
      <c r="E99" s="33" t="s">
        <v>740</v>
      </c>
      <c r="F99" s="118" t="s">
        <v>825</v>
      </c>
      <c r="G99" s="116" t="s">
        <v>788</v>
      </c>
      <c r="H99" s="82" t="s">
        <v>807</v>
      </c>
      <c r="I99" s="222" t="s">
        <v>888</v>
      </c>
      <c r="J99" s="67" t="s">
        <v>764</v>
      </c>
      <c r="K99" s="116" t="s">
        <v>788</v>
      </c>
      <c r="L99" s="120" t="s">
        <v>825</v>
      </c>
      <c r="M99" s="222" t="s">
        <v>1761</v>
      </c>
      <c r="N99" s="222" t="s">
        <v>825</v>
      </c>
      <c r="O99" s="82" t="s">
        <v>807</v>
      </c>
    </row>
    <row r="100" spans="1:15" ht="15" customHeight="1">
      <c r="A100" s="34"/>
      <c r="C100" s="67">
        <v>132</v>
      </c>
      <c r="D100" s="33" t="s">
        <v>717</v>
      </c>
      <c r="E100" s="33" t="s">
        <v>530</v>
      </c>
      <c r="F100" s="118" t="s">
        <v>530</v>
      </c>
      <c r="G100" s="116" t="s">
        <v>568</v>
      </c>
      <c r="H100" s="82" t="s">
        <v>808</v>
      </c>
      <c r="I100" s="222" t="s">
        <v>889</v>
      </c>
      <c r="J100" s="67" t="s">
        <v>765</v>
      </c>
      <c r="K100" s="116" t="s">
        <v>568</v>
      </c>
      <c r="L100" s="120" t="s">
        <v>568</v>
      </c>
      <c r="M100" s="222" t="s">
        <v>808</v>
      </c>
      <c r="N100" s="222" t="s">
        <v>910</v>
      </c>
      <c r="O100" s="82" t="s">
        <v>808</v>
      </c>
    </row>
    <row r="101" spans="1:15" ht="15" customHeight="1">
      <c r="A101" s="34"/>
      <c r="C101" s="67">
        <v>133</v>
      </c>
      <c r="D101" s="33" t="s">
        <v>718</v>
      </c>
      <c r="E101" s="33" t="s">
        <v>741</v>
      </c>
      <c r="F101" s="118" t="s">
        <v>531</v>
      </c>
      <c r="G101" s="116" t="s">
        <v>531</v>
      </c>
      <c r="H101" s="82" t="s">
        <v>809</v>
      </c>
      <c r="I101" s="222" t="s">
        <v>890</v>
      </c>
      <c r="J101" s="67" t="s">
        <v>766</v>
      </c>
      <c r="K101" s="116" t="s">
        <v>531</v>
      </c>
      <c r="L101" s="120" t="s">
        <v>531</v>
      </c>
      <c r="M101" s="222" t="s">
        <v>1762</v>
      </c>
      <c r="N101" s="222" t="s">
        <v>911</v>
      </c>
      <c r="O101" s="82" t="s">
        <v>809</v>
      </c>
    </row>
    <row r="102" spans="1:15" ht="15" customHeight="1">
      <c r="A102" s="34"/>
      <c r="C102" s="67">
        <v>134</v>
      </c>
      <c r="D102" s="33" t="s">
        <v>719</v>
      </c>
      <c r="E102" s="33" t="s">
        <v>719</v>
      </c>
      <c r="F102" s="118" t="s">
        <v>837</v>
      </c>
      <c r="G102" s="116" t="s">
        <v>789</v>
      </c>
      <c r="H102" s="82" t="s">
        <v>719</v>
      </c>
      <c r="I102" s="222" t="s">
        <v>891</v>
      </c>
      <c r="J102" s="67" t="s">
        <v>767</v>
      </c>
      <c r="K102" s="116" t="s">
        <v>789</v>
      </c>
      <c r="L102" s="120" t="s">
        <v>789</v>
      </c>
      <c r="M102" s="222" t="s">
        <v>1763</v>
      </c>
      <c r="N102" s="222" t="s">
        <v>912</v>
      </c>
      <c r="O102" s="82" t="s">
        <v>719</v>
      </c>
    </row>
    <row r="103" spans="1:15" ht="15" customHeight="1">
      <c r="A103" s="41"/>
      <c r="C103" s="67">
        <v>135</v>
      </c>
      <c r="D103" s="33" t="s">
        <v>17</v>
      </c>
      <c r="E103" s="33" t="s">
        <v>32</v>
      </c>
      <c r="F103" s="119" t="s">
        <v>103</v>
      </c>
      <c r="G103" s="81" t="s">
        <v>103</v>
      </c>
      <c r="H103" s="41" t="s">
        <v>210</v>
      </c>
      <c r="I103" s="11" t="s">
        <v>997</v>
      </c>
      <c r="J103" s="67" t="s">
        <v>247</v>
      </c>
      <c r="K103" s="33" t="s">
        <v>103</v>
      </c>
      <c r="L103" s="123" t="s">
        <v>103</v>
      </c>
      <c r="M103" s="67" t="s">
        <v>1764</v>
      </c>
      <c r="N103" s="67" t="s">
        <v>483</v>
      </c>
      <c r="O103" s="41" t="s">
        <v>210</v>
      </c>
    </row>
    <row r="104" spans="1:15" ht="15" customHeight="1">
      <c r="A104" s="41"/>
      <c r="C104" s="67">
        <v>136</v>
      </c>
      <c r="D104" s="33" t="s">
        <v>18</v>
      </c>
      <c r="E104" s="33" t="s">
        <v>33</v>
      </c>
      <c r="F104" s="118" t="s">
        <v>104</v>
      </c>
      <c r="G104" s="116" t="s">
        <v>104</v>
      </c>
      <c r="H104" s="82" t="s">
        <v>211</v>
      </c>
      <c r="I104" s="11" t="s">
        <v>248</v>
      </c>
      <c r="J104" s="67" t="s">
        <v>248</v>
      </c>
      <c r="K104" s="33" t="s">
        <v>104</v>
      </c>
      <c r="L104" s="115" t="s">
        <v>826</v>
      </c>
      <c r="M104" s="67" t="s">
        <v>331</v>
      </c>
      <c r="N104" s="67" t="s">
        <v>484</v>
      </c>
      <c r="O104" s="82" t="s">
        <v>211</v>
      </c>
    </row>
    <row r="105" spans="1:15" ht="14.9" customHeight="1">
      <c r="A105" s="34"/>
      <c r="C105" s="67">
        <v>137</v>
      </c>
      <c r="D105" s="33" t="s">
        <v>19</v>
      </c>
      <c r="E105" s="33" t="s">
        <v>19</v>
      </c>
      <c r="F105" s="118" t="s">
        <v>105</v>
      </c>
      <c r="G105" s="116" t="s">
        <v>105</v>
      </c>
      <c r="H105" s="117" t="s">
        <v>927</v>
      </c>
      <c r="I105" s="11" t="s">
        <v>249</v>
      </c>
      <c r="J105" s="67" t="s">
        <v>249</v>
      </c>
      <c r="K105" s="33" t="s">
        <v>105</v>
      </c>
      <c r="L105" s="33" t="s">
        <v>105</v>
      </c>
      <c r="M105" s="67" t="s">
        <v>332</v>
      </c>
      <c r="N105" s="67" t="s">
        <v>19</v>
      </c>
      <c r="O105" s="117" t="s">
        <v>927</v>
      </c>
    </row>
    <row r="106" spans="1:15">
      <c r="A106" s="34"/>
      <c r="C106" s="67">
        <v>138</v>
      </c>
      <c r="D106" s="33" t="s">
        <v>720</v>
      </c>
      <c r="E106" s="33" t="s">
        <v>721</v>
      </c>
      <c r="F106" s="118" t="s">
        <v>790</v>
      </c>
      <c r="G106" s="116" t="s">
        <v>790</v>
      </c>
      <c r="H106" s="82" t="s">
        <v>810</v>
      </c>
      <c r="I106" s="222" t="s">
        <v>892</v>
      </c>
      <c r="J106" s="67" t="s">
        <v>768</v>
      </c>
      <c r="K106" s="116" t="s">
        <v>790</v>
      </c>
      <c r="L106" s="222" t="s">
        <v>827</v>
      </c>
      <c r="M106" s="222" t="s">
        <v>848</v>
      </c>
      <c r="N106" s="222" t="s">
        <v>913</v>
      </c>
      <c r="O106" s="82" t="s">
        <v>810</v>
      </c>
    </row>
    <row r="107" spans="1:15" ht="15" customHeight="1">
      <c r="A107" s="34"/>
      <c r="C107" s="67">
        <v>139</v>
      </c>
      <c r="D107" s="33" t="s">
        <v>366</v>
      </c>
      <c r="E107" s="33" t="s">
        <v>368</v>
      </c>
      <c r="F107" s="118" t="s">
        <v>112</v>
      </c>
      <c r="G107" s="33" t="s">
        <v>387</v>
      </c>
      <c r="H107" s="82" t="s">
        <v>429</v>
      </c>
      <c r="I107" s="220" t="s">
        <v>387</v>
      </c>
      <c r="J107" s="67" t="s">
        <v>414</v>
      </c>
      <c r="K107" s="33" t="s">
        <v>387</v>
      </c>
      <c r="L107" s="33" t="s">
        <v>387</v>
      </c>
      <c r="M107" s="67" t="s">
        <v>849</v>
      </c>
      <c r="N107" s="67" t="s">
        <v>488</v>
      </c>
      <c r="O107" s="82" t="s">
        <v>429</v>
      </c>
    </row>
    <row r="108" spans="1:15" ht="15" customHeight="1">
      <c r="A108" s="34"/>
      <c r="C108" s="67">
        <v>140</v>
      </c>
      <c r="D108" s="67" t="s">
        <v>611</v>
      </c>
      <c r="E108" s="89" t="s">
        <v>621</v>
      </c>
      <c r="F108" s="117" t="s">
        <v>642</v>
      </c>
      <c r="G108" s="15" t="s">
        <v>681</v>
      </c>
      <c r="H108" s="15" t="s">
        <v>675</v>
      </c>
      <c r="I108" s="67" t="s">
        <v>650</v>
      </c>
      <c r="J108" s="67" t="s">
        <v>629</v>
      </c>
      <c r="K108" s="15" t="s">
        <v>681</v>
      </c>
      <c r="L108" s="67" t="s">
        <v>642</v>
      </c>
      <c r="M108" s="67" t="s">
        <v>850</v>
      </c>
      <c r="N108" s="67" t="s">
        <v>636</v>
      </c>
      <c r="O108" s="15" t="s">
        <v>675</v>
      </c>
    </row>
    <row r="109" spans="1:15" ht="15" customHeight="1">
      <c r="A109" s="34"/>
      <c r="C109" s="67">
        <v>141</v>
      </c>
      <c r="D109" s="67" t="s">
        <v>270</v>
      </c>
      <c r="E109" s="89" t="s">
        <v>619</v>
      </c>
      <c r="F109" s="117" t="s">
        <v>643</v>
      </c>
      <c r="G109" s="15" t="s">
        <v>666</v>
      </c>
      <c r="H109" s="67" t="s">
        <v>676</v>
      </c>
      <c r="I109" s="67" t="s">
        <v>651</v>
      </c>
      <c r="J109" s="67" t="s">
        <v>630</v>
      </c>
      <c r="K109" s="15" t="s">
        <v>666</v>
      </c>
      <c r="L109" s="67" t="s">
        <v>666</v>
      </c>
      <c r="M109" s="67" t="s">
        <v>851</v>
      </c>
      <c r="N109" s="67" t="s">
        <v>637</v>
      </c>
      <c r="O109" s="67" t="s">
        <v>676</v>
      </c>
    </row>
    <row r="110" spans="1:15" ht="15" customHeight="1">
      <c r="A110" s="34"/>
      <c r="C110" s="67">
        <v>142</v>
      </c>
      <c r="D110" s="33" t="s">
        <v>464</v>
      </c>
      <c r="E110" s="33" t="s">
        <v>513</v>
      </c>
      <c r="F110" s="118" t="s">
        <v>538</v>
      </c>
      <c r="G110" s="116" t="s">
        <v>519</v>
      </c>
      <c r="H110" s="82" t="s">
        <v>341</v>
      </c>
      <c r="I110" s="220" t="s">
        <v>547</v>
      </c>
      <c r="J110" s="82" t="s">
        <v>545</v>
      </c>
      <c r="K110" s="116" t="s">
        <v>519</v>
      </c>
      <c r="L110" s="115" t="s">
        <v>519</v>
      </c>
      <c r="M110" s="67" t="s">
        <v>852</v>
      </c>
      <c r="N110" s="67" t="s">
        <v>519</v>
      </c>
      <c r="O110" s="82" t="s">
        <v>341</v>
      </c>
    </row>
    <row r="111" spans="1:15" ht="15" customHeight="1">
      <c r="A111" s="34"/>
      <c r="C111" s="67">
        <v>143</v>
      </c>
      <c r="D111" s="33" t="s">
        <v>600</v>
      </c>
      <c r="E111" s="33" t="s">
        <v>604</v>
      </c>
      <c r="F111" s="118" t="s">
        <v>660</v>
      </c>
      <c r="G111" s="116" t="s">
        <v>605</v>
      </c>
      <c r="H111" s="82" t="s">
        <v>606</v>
      </c>
      <c r="I111" s="115" t="s">
        <v>646</v>
      </c>
      <c r="J111" s="82" t="s">
        <v>623</v>
      </c>
      <c r="K111" s="116" t="s">
        <v>605</v>
      </c>
      <c r="L111" s="115" t="s">
        <v>1778</v>
      </c>
      <c r="M111" s="67" t="s">
        <v>342</v>
      </c>
      <c r="N111" s="67" t="s">
        <v>607</v>
      </c>
      <c r="O111" s="82" t="s">
        <v>606</v>
      </c>
    </row>
    <row r="112" spans="1:15" ht="15" customHeight="1">
      <c r="A112" s="41"/>
      <c r="C112" s="67">
        <v>144</v>
      </c>
      <c r="D112" s="82" t="s">
        <v>21</v>
      </c>
      <c r="E112" s="82" t="s">
        <v>22</v>
      </c>
      <c r="F112" s="117" t="s">
        <v>97</v>
      </c>
      <c r="G112" s="79" t="s">
        <v>154</v>
      </c>
      <c r="H112" s="67" t="s">
        <v>205</v>
      </c>
      <c r="I112" s="11" t="s">
        <v>998</v>
      </c>
      <c r="J112" s="67" t="s">
        <v>245</v>
      </c>
      <c r="K112" s="82" t="s">
        <v>154</v>
      </c>
      <c r="L112" s="120" t="s">
        <v>1779</v>
      </c>
      <c r="M112" s="67" t="s">
        <v>1747</v>
      </c>
      <c r="N112" s="67" t="s">
        <v>475</v>
      </c>
      <c r="O112" s="67" t="s">
        <v>205</v>
      </c>
    </row>
    <row r="113" spans="1:15" ht="15" customHeight="1">
      <c r="A113" s="34"/>
      <c r="C113" s="67">
        <v>145</v>
      </c>
      <c r="D113" s="67" t="s">
        <v>612</v>
      </c>
      <c r="E113" s="89" t="s">
        <v>620</v>
      </c>
      <c r="F113" s="117" t="s">
        <v>644</v>
      </c>
      <c r="G113" s="15" t="s">
        <v>682</v>
      </c>
      <c r="H113" s="15" t="s">
        <v>677</v>
      </c>
      <c r="I113" s="67" t="s">
        <v>631</v>
      </c>
      <c r="J113" s="67" t="s">
        <v>631</v>
      </c>
      <c r="K113" s="15" t="s">
        <v>682</v>
      </c>
      <c r="L113" s="67" t="s">
        <v>667</v>
      </c>
      <c r="M113" s="67" t="s">
        <v>853</v>
      </c>
      <c r="N113" s="67" t="s">
        <v>638</v>
      </c>
      <c r="O113" s="15" t="s">
        <v>677</v>
      </c>
    </row>
    <row r="114" spans="1:15" ht="15" customHeight="1">
      <c r="A114" s="34"/>
      <c r="C114" s="67">
        <v>146</v>
      </c>
      <c r="D114" s="8" t="s">
        <v>351</v>
      </c>
      <c r="E114" s="33" t="s">
        <v>352</v>
      </c>
      <c r="F114" s="118" t="s">
        <v>396</v>
      </c>
      <c r="G114" s="8" t="s">
        <v>432</v>
      </c>
      <c r="H114" s="116" t="s">
        <v>426</v>
      </c>
      <c r="I114" s="220" t="s">
        <v>409</v>
      </c>
      <c r="J114" s="83" t="s">
        <v>411</v>
      </c>
      <c r="K114" s="33" t="s">
        <v>392</v>
      </c>
      <c r="L114" s="33" t="s">
        <v>1780</v>
      </c>
      <c r="M114" s="67" t="s">
        <v>854</v>
      </c>
      <c r="N114" s="67" t="s">
        <v>485</v>
      </c>
      <c r="O114" s="116" t="s">
        <v>426</v>
      </c>
    </row>
    <row r="115" spans="1:15" ht="15" customHeight="1">
      <c r="A115" s="34"/>
      <c r="C115" s="67">
        <v>147</v>
      </c>
      <c r="D115" s="8" t="s">
        <v>363</v>
      </c>
      <c r="E115" s="33" t="s">
        <v>364</v>
      </c>
      <c r="F115" s="118" t="s">
        <v>397</v>
      </c>
      <c r="G115" s="8" t="s">
        <v>433</v>
      </c>
      <c r="H115" s="116" t="s">
        <v>427</v>
      </c>
      <c r="I115" s="220" t="s">
        <v>410</v>
      </c>
      <c r="J115" s="83" t="s">
        <v>412</v>
      </c>
      <c r="K115" s="33" t="s">
        <v>393</v>
      </c>
      <c r="L115" s="33" t="s">
        <v>1781</v>
      </c>
      <c r="M115" s="67" t="s">
        <v>855</v>
      </c>
      <c r="N115" s="67" t="s">
        <v>486</v>
      </c>
      <c r="O115" s="116" t="s">
        <v>427</v>
      </c>
    </row>
    <row r="116" spans="1:15" ht="15" customHeight="1">
      <c r="A116" s="41"/>
      <c r="C116" s="67">
        <v>148</v>
      </c>
      <c r="D116" s="33" t="s">
        <v>20</v>
      </c>
      <c r="E116" s="33" t="s">
        <v>23</v>
      </c>
      <c r="F116" s="117" t="s">
        <v>96</v>
      </c>
      <c r="G116" s="79" t="s">
        <v>153</v>
      </c>
      <c r="H116" s="67" t="s">
        <v>204</v>
      </c>
      <c r="I116" s="11" t="s">
        <v>999</v>
      </c>
      <c r="J116" s="67" t="s">
        <v>989</v>
      </c>
      <c r="K116" s="33" t="s">
        <v>153</v>
      </c>
      <c r="L116" s="120" t="s">
        <v>293</v>
      </c>
      <c r="M116" s="67" t="s">
        <v>325</v>
      </c>
      <c r="N116" s="67" t="s">
        <v>474</v>
      </c>
      <c r="O116" s="67" t="s">
        <v>204</v>
      </c>
    </row>
    <row r="117" spans="1:15" ht="15" customHeight="1">
      <c r="A117" s="41"/>
      <c r="C117" s="67">
        <v>149</v>
      </c>
      <c r="D117" s="33" t="s">
        <v>28</v>
      </c>
      <c r="E117" s="33" t="s">
        <v>29</v>
      </c>
      <c r="F117" s="117" t="s">
        <v>100</v>
      </c>
      <c r="G117" s="79" t="s">
        <v>157</v>
      </c>
      <c r="H117" s="67" t="s">
        <v>208</v>
      </c>
      <c r="I117" s="11" t="s">
        <v>1000</v>
      </c>
      <c r="J117" s="67" t="s">
        <v>990</v>
      </c>
      <c r="K117" s="33" t="s">
        <v>157</v>
      </c>
      <c r="L117" s="120" t="s">
        <v>1782</v>
      </c>
      <c r="M117" s="67" t="s">
        <v>328</v>
      </c>
      <c r="N117" s="67" t="s">
        <v>478</v>
      </c>
      <c r="O117" s="67" t="s">
        <v>208</v>
      </c>
    </row>
    <row r="118" spans="1:15" ht="15" customHeight="1">
      <c r="A118" s="41"/>
      <c r="C118" s="67">
        <v>150</v>
      </c>
      <c r="D118" s="33" t="s">
        <v>24</v>
      </c>
      <c r="E118" s="33" t="s">
        <v>26</v>
      </c>
      <c r="F118" s="117" t="s">
        <v>98</v>
      </c>
      <c r="G118" s="79" t="s">
        <v>155</v>
      </c>
      <c r="H118" s="67" t="s">
        <v>206</v>
      </c>
      <c r="I118" s="11" t="s">
        <v>1001</v>
      </c>
      <c r="J118" s="67" t="s">
        <v>991</v>
      </c>
      <c r="K118" s="33" t="s">
        <v>155</v>
      </c>
      <c r="L118" s="120" t="s">
        <v>294</v>
      </c>
      <c r="M118" s="67" t="s">
        <v>326</v>
      </c>
      <c r="N118" s="67" t="s">
        <v>476</v>
      </c>
      <c r="O118" s="67" t="s">
        <v>206</v>
      </c>
    </row>
    <row r="119" spans="1:15" ht="15" customHeight="1">
      <c r="A119" s="41"/>
      <c r="C119" s="67">
        <v>151</v>
      </c>
      <c r="D119" s="33" t="s">
        <v>25</v>
      </c>
      <c r="E119" s="33" t="s">
        <v>27</v>
      </c>
      <c r="F119" s="117" t="s">
        <v>99</v>
      </c>
      <c r="G119" s="79" t="s">
        <v>156</v>
      </c>
      <c r="H119" s="67" t="s">
        <v>207</v>
      </c>
      <c r="I119" s="11" t="s">
        <v>1002</v>
      </c>
      <c r="J119" s="67" t="s">
        <v>992</v>
      </c>
      <c r="K119" s="33" t="s">
        <v>306</v>
      </c>
      <c r="L119" s="120" t="s">
        <v>295</v>
      </c>
      <c r="M119" s="67" t="s">
        <v>327</v>
      </c>
      <c r="N119" s="67" t="s">
        <v>477</v>
      </c>
      <c r="O119" s="67" t="s">
        <v>207</v>
      </c>
    </row>
    <row r="120" spans="1:15" ht="15" customHeight="1">
      <c r="A120" s="41"/>
      <c r="C120" s="67">
        <v>152</v>
      </c>
      <c r="D120" s="33" t="s">
        <v>30</v>
      </c>
      <c r="E120" s="33" t="s">
        <v>31</v>
      </c>
      <c r="F120" s="117" t="s">
        <v>101</v>
      </c>
      <c r="G120" s="79" t="s">
        <v>158</v>
      </c>
      <c r="H120" s="67" t="s">
        <v>1086</v>
      </c>
      <c r="I120" s="11" t="s">
        <v>1003</v>
      </c>
      <c r="J120" s="67" t="s">
        <v>417</v>
      </c>
      <c r="K120" s="33" t="s">
        <v>307</v>
      </c>
      <c r="L120" s="120" t="s">
        <v>298</v>
      </c>
      <c r="M120" s="67" t="s">
        <v>329</v>
      </c>
      <c r="N120" s="67" t="s">
        <v>479</v>
      </c>
      <c r="O120" s="67" t="s">
        <v>1086</v>
      </c>
    </row>
    <row r="121" spans="1:15" ht="15" customHeight="1">
      <c r="A121" s="41"/>
      <c r="C121" s="67">
        <v>153</v>
      </c>
      <c r="D121" s="33" t="s">
        <v>353</v>
      </c>
      <c r="E121" s="33" t="s">
        <v>355</v>
      </c>
      <c r="F121" s="117" t="s">
        <v>356</v>
      </c>
      <c r="G121" s="79" t="s">
        <v>359</v>
      </c>
      <c r="H121" s="67" t="s">
        <v>1087</v>
      </c>
      <c r="I121" s="11" t="s">
        <v>1004</v>
      </c>
      <c r="J121" s="67" t="s">
        <v>418</v>
      </c>
      <c r="K121" s="33" t="s">
        <v>360</v>
      </c>
      <c r="L121" s="120" t="s">
        <v>361</v>
      </c>
      <c r="M121" s="67" t="s">
        <v>362</v>
      </c>
      <c r="N121" s="67" t="s">
        <v>480</v>
      </c>
      <c r="O121" s="67" t="s">
        <v>1087</v>
      </c>
    </row>
    <row r="122" spans="1:15" ht="15" customHeight="1">
      <c r="C122" s="67">
        <v>154</v>
      </c>
      <c r="D122" s="33" t="s">
        <v>465</v>
      </c>
      <c r="E122" s="33" t="s">
        <v>511</v>
      </c>
      <c r="F122" s="118" t="s">
        <v>536</v>
      </c>
      <c r="G122" s="116" t="s">
        <v>582</v>
      </c>
      <c r="H122" s="82" t="s">
        <v>587</v>
      </c>
      <c r="I122" s="220" t="s">
        <v>548</v>
      </c>
      <c r="J122" s="82" t="s">
        <v>543</v>
      </c>
      <c r="K122" s="116" t="s">
        <v>582</v>
      </c>
      <c r="L122" s="67" t="s">
        <v>828</v>
      </c>
      <c r="M122" s="67" t="s">
        <v>856</v>
      </c>
      <c r="N122" s="67" t="s">
        <v>517</v>
      </c>
      <c r="O122" s="82" t="s">
        <v>587</v>
      </c>
    </row>
    <row r="123" spans="1:15" ht="15" customHeight="1">
      <c r="A123" s="34"/>
      <c r="C123" s="67">
        <v>155</v>
      </c>
      <c r="D123" s="33" t="s">
        <v>466</v>
      </c>
      <c r="E123" s="33" t="s">
        <v>512</v>
      </c>
      <c r="F123" s="118" t="s">
        <v>537</v>
      </c>
      <c r="G123" s="116" t="s">
        <v>583</v>
      </c>
      <c r="H123" s="82" t="s">
        <v>588</v>
      </c>
      <c r="I123" s="220" t="s">
        <v>549</v>
      </c>
      <c r="J123" s="82" t="s">
        <v>544</v>
      </c>
      <c r="K123" s="116" t="s">
        <v>583</v>
      </c>
      <c r="L123" s="67" t="s">
        <v>829</v>
      </c>
      <c r="M123" s="67" t="s">
        <v>857</v>
      </c>
      <c r="N123" s="67" t="s">
        <v>518</v>
      </c>
      <c r="O123" s="82" t="s">
        <v>588</v>
      </c>
    </row>
    <row r="124" spans="1:15" ht="15" customHeight="1">
      <c r="A124" s="34"/>
      <c r="C124" s="67">
        <v>156</v>
      </c>
      <c r="D124" s="67" t="s">
        <v>613</v>
      </c>
      <c r="E124" s="89" t="s">
        <v>613</v>
      </c>
      <c r="F124" s="117" t="s">
        <v>117</v>
      </c>
      <c r="G124" s="67" t="s">
        <v>117</v>
      </c>
      <c r="H124" s="15" t="s">
        <v>639</v>
      </c>
      <c r="I124" s="67" t="s">
        <v>652</v>
      </c>
      <c r="J124" s="67" t="s">
        <v>632</v>
      </c>
      <c r="K124" s="67" t="s">
        <v>117</v>
      </c>
      <c r="L124" s="67" t="s">
        <v>668</v>
      </c>
      <c r="M124" s="67" t="s">
        <v>117</v>
      </c>
      <c r="N124" s="67" t="s">
        <v>639</v>
      </c>
      <c r="O124" s="15" t="s">
        <v>639</v>
      </c>
    </row>
    <row r="125" spans="1:15" ht="15" customHeight="1">
      <c r="A125" s="34"/>
      <c r="C125" s="67">
        <v>157</v>
      </c>
      <c r="D125" s="33" t="s">
        <v>419</v>
      </c>
      <c r="E125" s="33" t="s">
        <v>421</v>
      </c>
      <c r="F125" s="118" t="s">
        <v>424</v>
      </c>
      <c r="G125" s="116" t="s">
        <v>436</v>
      </c>
      <c r="H125" s="82" t="s">
        <v>431</v>
      </c>
      <c r="I125" s="11" t="s">
        <v>1005</v>
      </c>
      <c r="J125" s="82" t="s">
        <v>420</v>
      </c>
      <c r="K125" s="33" t="s">
        <v>436</v>
      </c>
      <c r="L125" s="33" t="s">
        <v>491</v>
      </c>
      <c r="M125" s="67" t="s">
        <v>407</v>
      </c>
      <c r="N125" s="67" t="s">
        <v>491</v>
      </c>
      <c r="O125" s="82" t="s">
        <v>431</v>
      </c>
    </row>
    <row r="126" spans="1:15" ht="15" customHeight="1">
      <c r="A126" s="34"/>
      <c r="C126" s="67">
        <v>158</v>
      </c>
      <c r="D126" s="33" t="s">
        <v>594</v>
      </c>
      <c r="E126" s="33" t="s">
        <v>615</v>
      </c>
      <c r="F126" s="118" t="s">
        <v>640</v>
      </c>
      <c r="G126" s="15" t="s">
        <v>678</v>
      </c>
      <c r="H126" s="15" t="s">
        <v>672</v>
      </c>
      <c r="I126" s="115" t="s">
        <v>661</v>
      </c>
      <c r="J126" s="82" t="s">
        <v>625</v>
      </c>
      <c r="K126" s="15" t="s">
        <v>678</v>
      </c>
      <c r="L126" s="115" t="s">
        <v>1783</v>
      </c>
      <c r="M126" s="67" t="s">
        <v>859</v>
      </c>
      <c r="N126" s="116" t="s">
        <v>633</v>
      </c>
      <c r="O126" s="15" t="s">
        <v>672</v>
      </c>
    </row>
    <row r="127" spans="1:15" ht="15" customHeight="1">
      <c r="A127" s="34"/>
      <c r="C127" s="67">
        <v>159</v>
      </c>
      <c r="D127" s="33" t="s">
        <v>601</v>
      </c>
      <c r="E127" s="33" t="s">
        <v>614</v>
      </c>
      <c r="F127" s="118" t="s">
        <v>289</v>
      </c>
      <c r="G127" s="116" t="s">
        <v>669</v>
      </c>
      <c r="H127" s="82" t="s">
        <v>671</v>
      </c>
      <c r="I127" s="115" t="s">
        <v>647</v>
      </c>
      <c r="J127" s="82" t="s">
        <v>624</v>
      </c>
      <c r="K127" s="116" t="s">
        <v>669</v>
      </c>
      <c r="L127" s="115" t="s">
        <v>664</v>
      </c>
      <c r="M127" s="67" t="s">
        <v>858</v>
      </c>
      <c r="N127" s="116" t="s">
        <v>289</v>
      </c>
      <c r="O127" s="82" t="s">
        <v>671</v>
      </c>
    </row>
    <row r="128" spans="1:15" ht="15" customHeight="1">
      <c r="A128" s="34"/>
      <c r="C128" s="67">
        <v>160</v>
      </c>
      <c r="D128" s="67" t="s">
        <v>608</v>
      </c>
      <c r="E128" s="89" t="s">
        <v>616</v>
      </c>
      <c r="F128" s="117" t="s">
        <v>679</v>
      </c>
      <c r="G128" s="67" t="s">
        <v>679</v>
      </c>
      <c r="H128" s="15" t="s">
        <v>673</v>
      </c>
      <c r="I128" s="67" t="s">
        <v>945</v>
      </c>
      <c r="J128" s="67" t="s">
        <v>626</v>
      </c>
      <c r="K128" s="67" t="s">
        <v>679</v>
      </c>
      <c r="L128" s="67" t="s">
        <v>679</v>
      </c>
      <c r="M128" s="67" t="s">
        <v>860</v>
      </c>
      <c r="N128" s="67" t="s">
        <v>634</v>
      </c>
      <c r="O128" s="15" t="s">
        <v>673</v>
      </c>
    </row>
    <row r="129" spans="1:17" ht="15" customHeight="1">
      <c r="A129" s="34"/>
      <c r="C129" s="67">
        <v>161</v>
      </c>
      <c r="D129" s="67" t="s">
        <v>685</v>
      </c>
      <c r="E129" s="89" t="s">
        <v>686</v>
      </c>
      <c r="F129" s="117" t="s">
        <v>687</v>
      </c>
      <c r="G129" s="67" t="s">
        <v>687</v>
      </c>
      <c r="H129" s="15" t="s">
        <v>928</v>
      </c>
      <c r="I129" s="67" t="s">
        <v>946</v>
      </c>
      <c r="J129" s="67" t="s">
        <v>688</v>
      </c>
      <c r="K129" s="67" t="s">
        <v>687</v>
      </c>
      <c r="L129" s="67" t="s">
        <v>687</v>
      </c>
      <c r="M129" s="67" t="s">
        <v>861</v>
      </c>
      <c r="N129" s="67" t="s">
        <v>689</v>
      </c>
      <c r="O129" s="15" t="s">
        <v>928</v>
      </c>
    </row>
    <row r="130" spans="1:17" ht="15" customHeight="1">
      <c r="A130" s="34"/>
      <c r="C130" s="67">
        <v>162</v>
      </c>
      <c r="D130" s="33" t="s">
        <v>467</v>
      </c>
      <c r="E130" s="33" t="s">
        <v>514</v>
      </c>
      <c r="F130" s="118" t="s">
        <v>539</v>
      </c>
      <c r="G130" s="116" t="s">
        <v>584</v>
      </c>
      <c r="H130" s="82" t="s">
        <v>589</v>
      </c>
      <c r="I130" s="220" t="s">
        <v>550</v>
      </c>
      <c r="J130" s="82" t="s">
        <v>575</v>
      </c>
      <c r="K130" s="116" t="s">
        <v>584</v>
      </c>
      <c r="L130" s="115" t="s">
        <v>830</v>
      </c>
      <c r="M130" s="67" t="s">
        <v>862</v>
      </c>
      <c r="N130" s="67" t="s">
        <v>520</v>
      </c>
      <c r="O130" s="82" t="s">
        <v>589</v>
      </c>
    </row>
    <row r="131" spans="1:17" ht="15" customHeight="1">
      <c r="A131" s="34"/>
      <c r="C131" s="67">
        <v>163</v>
      </c>
      <c r="D131" s="33" t="s">
        <v>468</v>
      </c>
      <c r="E131" s="33" t="s">
        <v>515</v>
      </c>
      <c r="F131" s="118" t="s">
        <v>540</v>
      </c>
      <c r="G131" s="116" t="s">
        <v>585</v>
      </c>
      <c r="H131" s="82" t="s">
        <v>590</v>
      </c>
      <c r="I131" s="220" t="s">
        <v>551</v>
      </c>
      <c r="J131" s="82" t="s">
        <v>576</v>
      </c>
      <c r="K131" s="116" t="s">
        <v>585</v>
      </c>
      <c r="L131" s="115" t="s">
        <v>831</v>
      </c>
      <c r="M131" s="67" t="s">
        <v>863</v>
      </c>
      <c r="N131" s="67" t="s">
        <v>521</v>
      </c>
      <c r="O131" s="82" t="s">
        <v>590</v>
      </c>
    </row>
    <row r="132" spans="1:17" ht="15" customHeight="1">
      <c r="A132" s="34"/>
      <c r="C132" s="67">
        <v>164</v>
      </c>
      <c r="D132" s="33" t="s">
        <v>469</v>
      </c>
      <c r="E132" s="33" t="s">
        <v>516</v>
      </c>
      <c r="F132" s="118" t="s">
        <v>541</v>
      </c>
      <c r="G132" s="116" t="s">
        <v>586</v>
      </c>
      <c r="H132" s="82" t="s">
        <v>591</v>
      </c>
      <c r="I132" s="220" t="s">
        <v>552</v>
      </c>
      <c r="J132" s="82" t="s">
        <v>577</v>
      </c>
      <c r="K132" s="116" t="s">
        <v>586</v>
      </c>
      <c r="L132" s="115" t="s">
        <v>832</v>
      </c>
      <c r="M132" s="67" t="s">
        <v>864</v>
      </c>
      <c r="N132" s="67" t="s">
        <v>522</v>
      </c>
      <c r="O132" s="82" t="s">
        <v>591</v>
      </c>
    </row>
    <row r="133" spans="1:17" ht="15" customHeight="1">
      <c r="A133" s="34"/>
      <c r="C133" s="67">
        <v>165</v>
      </c>
      <c r="D133" s="67" t="s">
        <v>609</v>
      </c>
      <c r="E133" s="89" t="s">
        <v>617</v>
      </c>
      <c r="F133" s="117" t="s">
        <v>400</v>
      </c>
      <c r="G133" s="15" t="s">
        <v>408</v>
      </c>
      <c r="H133" s="15" t="s">
        <v>609</v>
      </c>
      <c r="I133" s="67" t="s">
        <v>648</v>
      </c>
      <c r="J133" s="67" t="s">
        <v>627</v>
      </c>
      <c r="K133" s="15" t="s">
        <v>408</v>
      </c>
      <c r="L133" s="67" t="s">
        <v>665</v>
      </c>
      <c r="M133" s="67" t="s">
        <v>617</v>
      </c>
      <c r="N133" s="67" t="s">
        <v>416</v>
      </c>
      <c r="O133" s="15" t="s">
        <v>609</v>
      </c>
    </row>
    <row r="134" spans="1:17" ht="15" customHeight="1">
      <c r="A134" s="34"/>
      <c r="C134" s="67">
        <v>166</v>
      </c>
      <c r="D134" s="67" t="s">
        <v>610</v>
      </c>
      <c r="E134" s="89" t="s">
        <v>618</v>
      </c>
      <c r="F134" s="117" t="s">
        <v>641</v>
      </c>
      <c r="G134" s="15" t="s">
        <v>680</v>
      </c>
      <c r="H134" s="15" t="s">
        <v>674</v>
      </c>
      <c r="I134" s="67" t="s">
        <v>649</v>
      </c>
      <c r="J134" s="67" t="s">
        <v>628</v>
      </c>
      <c r="K134" s="15" t="s">
        <v>680</v>
      </c>
      <c r="L134" s="67" t="s">
        <v>1784</v>
      </c>
      <c r="M134" s="67" t="s">
        <v>865</v>
      </c>
      <c r="N134" s="67" t="s">
        <v>635</v>
      </c>
      <c r="O134" s="15" t="s">
        <v>674</v>
      </c>
    </row>
    <row r="135" spans="1:17" ht="15" customHeight="1">
      <c r="A135" s="41"/>
      <c r="C135" s="67">
        <v>167</v>
      </c>
      <c r="D135" s="33" t="s">
        <v>952</v>
      </c>
      <c r="E135" s="33" t="s">
        <v>952</v>
      </c>
      <c r="F135" s="117" t="s">
        <v>292</v>
      </c>
      <c r="G135" s="79" t="s">
        <v>160</v>
      </c>
      <c r="H135" s="67" t="s">
        <v>209</v>
      </c>
      <c r="I135" s="11" t="s">
        <v>996</v>
      </c>
      <c r="J135" s="67" t="s">
        <v>246</v>
      </c>
      <c r="K135" s="33" t="s">
        <v>160</v>
      </c>
      <c r="L135" s="120" t="s">
        <v>287</v>
      </c>
      <c r="M135" s="67" t="s">
        <v>330</v>
      </c>
      <c r="N135" s="67" t="s">
        <v>482</v>
      </c>
      <c r="O135" s="67" t="s">
        <v>209</v>
      </c>
    </row>
    <row r="136" spans="1:17" ht="15" customHeight="1">
      <c r="A136" s="41"/>
      <c r="D136" s="33"/>
      <c r="E136" s="33"/>
      <c r="F136" s="117"/>
      <c r="G136" s="79"/>
      <c r="I136" s="158"/>
      <c r="K136" s="33"/>
      <c r="L136" s="120"/>
      <c r="N136" s="77"/>
    </row>
    <row r="137" spans="1:17" ht="15" customHeight="1" thickBot="1">
      <c r="A137" s="34"/>
      <c r="B137" s="224" t="s">
        <v>622</v>
      </c>
      <c r="D137" s="200" t="s">
        <v>44</v>
      </c>
      <c r="E137" s="226" t="s">
        <v>45</v>
      </c>
      <c r="F137" s="223" t="s">
        <v>124</v>
      </c>
      <c r="G137" s="223" t="s">
        <v>253</v>
      </c>
      <c r="H137" s="67" t="s">
        <v>1200</v>
      </c>
      <c r="I137" s="223" t="s">
        <v>242</v>
      </c>
      <c r="J137" s="223" t="s">
        <v>252</v>
      </c>
      <c r="K137" s="223" t="s">
        <v>254</v>
      </c>
      <c r="L137" s="223" t="s">
        <v>291</v>
      </c>
      <c r="M137" s="223" t="s">
        <v>317</v>
      </c>
      <c r="N137" s="66" t="s">
        <v>523</v>
      </c>
      <c r="O137" s="223" t="s">
        <v>683</v>
      </c>
    </row>
    <row r="138" spans="1:17" ht="15" customHeight="1">
      <c r="A138" s="34" t="s">
        <v>455</v>
      </c>
      <c r="C138" s="67">
        <v>200</v>
      </c>
      <c r="D138" s="188" t="s">
        <v>1150</v>
      </c>
      <c r="E138" s="228" t="s">
        <v>1211</v>
      </c>
      <c r="F138" s="238" t="s">
        <v>1422</v>
      </c>
      <c r="G138" s="186"/>
      <c r="H138" s="197"/>
      <c r="I138" s="249" t="s">
        <v>1468</v>
      </c>
      <c r="J138" s="246" t="s">
        <v>1767</v>
      </c>
      <c r="K138" s="251" t="s">
        <v>1605</v>
      </c>
      <c r="L138" s="243" t="s">
        <v>1451</v>
      </c>
      <c r="M138" s="253" t="s">
        <v>1700</v>
      </c>
      <c r="N138" s="184"/>
      <c r="O138" s="252" t="s">
        <v>1665</v>
      </c>
      <c r="P138" s="198"/>
      <c r="Q138" s="124"/>
    </row>
    <row r="139" spans="1:17" ht="19.399999999999999" customHeight="1">
      <c r="A139" s="41"/>
      <c r="B139" s="63"/>
      <c r="C139" s="67">
        <v>201</v>
      </c>
      <c r="D139" s="162" t="s">
        <v>1297</v>
      </c>
      <c r="E139" s="228" t="s">
        <v>1267</v>
      </c>
      <c r="F139" s="238" t="s">
        <v>1322</v>
      </c>
      <c r="G139" s="186"/>
      <c r="H139" s="198"/>
      <c r="I139" s="249" t="s">
        <v>1469</v>
      </c>
      <c r="J139" s="246" t="s">
        <v>1765</v>
      </c>
      <c r="K139" s="251" t="s">
        <v>1606</v>
      </c>
      <c r="L139" s="243" t="s">
        <v>1346</v>
      </c>
      <c r="M139" s="253" t="s">
        <v>1557</v>
      </c>
      <c r="N139" s="184"/>
      <c r="O139" s="252" t="s">
        <v>1666</v>
      </c>
      <c r="P139" s="198"/>
      <c r="Q139" s="124"/>
    </row>
    <row r="140" spans="1:17" ht="15" customHeight="1">
      <c r="A140" s="41"/>
      <c r="B140" s="64"/>
      <c r="C140" s="67">
        <v>202</v>
      </c>
      <c r="D140" s="162" t="s">
        <v>1304</v>
      </c>
      <c r="E140" s="228" t="s">
        <v>1268</v>
      </c>
      <c r="F140" s="238" t="s">
        <v>1310</v>
      </c>
      <c r="G140" s="186"/>
      <c r="H140" s="198"/>
      <c r="I140" s="249" t="s">
        <v>1470</v>
      </c>
      <c r="J140" s="246" t="s">
        <v>1790</v>
      </c>
      <c r="K140" s="251" t="s">
        <v>1607</v>
      </c>
      <c r="L140" s="243" t="s">
        <v>1347</v>
      </c>
      <c r="M140" s="253" t="s">
        <v>1558</v>
      </c>
      <c r="N140" s="184"/>
      <c r="O140" s="252" t="s">
        <v>1667</v>
      </c>
      <c r="P140" s="198"/>
      <c r="Q140" s="124"/>
    </row>
    <row r="141" spans="1:17" ht="15" customHeight="1">
      <c r="A141" s="41"/>
      <c r="B141" s="64"/>
      <c r="C141" s="67">
        <v>203</v>
      </c>
      <c r="D141" s="139" t="s">
        <v>1420</v>
      </c>
      <c r="E141" s="228" t="s">
        <v>1423</v>
      </c>
      <c r="F141" s="238" t="s">
        <v>1424</v>
      </c>
      <c r="G141" s="186"/>
      <c r="H141" s="198"/>
      <c r="I141" s="249" t="s">
        <v>1471</v>
      </c>
      <c r="J141" s="246" t="s">
        <v>1452</v>
      </c>
      <c r="K141" s="251" t="s">
        <v>1608</v>
      </c>
      <c r="L141" s="243" t="s">
        <v>1539</v>
      </c>
      <c r="M141" s="253" t="s">
        <v>1559</v>
      </c>
      <c r="N141" s="184"/>
      <c r="O141" s="252" t="s">
        <v>1668</v>
      </c>
      <c r="P141" s="198"/>
      <c r="Q141" s="124"/>
    </row>
    <row r="142" spans="1:17" ht="15" customHeight="1">
      <c r="A142" s="41"/>
      <c r="B142" s="63"/>
      <c r="C142" s="67">
        <v>204</v>
      </c>
      <c r="D142" s="162" t="s">
        <v>1250</v>
      </c>
      <c r="E142" s="229" t="s">
        <v>1161</v>
      </c>
      <c r="F142" s="238" t="s">
        <v>1323</v>
      </c>
      <c r="G142" s="186"/>
      <c r="H142" s="199"/>
      <c r="I142" s="249" t="s">
        <v>1472</v>
      </c>
      <c r="J142" s="246" t="s">
        <v>1791</v>
      </c>
      <c r="K142" s="251" t="s">
        <v>1609</v>
      </c>
      <c r="L142" s="243" t="s">
        <v>1348</v>
      </c>
      <c r="M142" s="253" t="s">
        <v>1701</v>
      </c>
      <c r="N142" s="184"/>
      <c r="O142" s="252" t="s">
        <v>1669</v>
      </c>
      <c r="P142" s="199"/>
      <c r="Q142" s="124"/>
    </row>
    <row r="143" spans="1:17" ht="15" customHeight="1">
      <c r="A143" s="41"/>
      <c r="B143" s="63"/>
      <c r="C143" s="67">
        <v>205</v>
      </c>
      <c r="D143" s="162" t="s">
        <v>1421</v>
      </c>
      <c r="E143" s="228" t="s">
        <v>1425</v>
      </c>
      <c r="F143" s="239" t="s">
        <v>1426</v>
      </c>
      <c r="G143" s="186"/>
      <c r="H143" s="198"/>
      <c r="I143" s="249" t="s">
        <v>1473</v>
      </c>
      <c r="J143" s="246" t="s">
        <v>1792</v>
      </c>
      <c r="K143" s="251" t="s">
        <v>1610</v>
      </c>
      <c r="L143" s="243" t="s">
        <v>1349</v>
      </c>
      <c r="M143" s="253" t="s">
        <v>1702</v>
      </c>
      <c r="N143" s="184"/>
      <c r="O143" s="252" t="s">
        <v>1670</v>
      </c>
      <c r="P143" s="198"/>
      <c r="Q143" s="124"/>
    </row>
    <row r="144" spans="1:17" ht="15" customHeight="1">
      <c r="A144" s="41"/>
      <c r="B144" s="63"/>
      <c r="C144" s="67">
        <v>206</v>
      </c>
      <c r="D144" s="162" t="s">
        <v>1172</v>
      </c>
      <c r="E144" s="228" t="s">
        <v>1188</v>
      </c>
      <c r="F144" s="238" t="s">
        <v>1427</v>
      </c>
      <c r="G144" s="186"/>
      <c r="H144" s="198"/>
      <c r="I144" s="249" t="s">
        <v>1474</v>
      </c>
      <c r="J144" s="246" t="s">
        <v>1224</v>
      </c>
      <c r="K144" s="251" t="s">
        <v>1611</v>
      </c>
      <c r="L144" s="243" t="s">
        <v>1350</v>
      </c>
      <c r="M144" s="253" t="s">
        <v>1703</v>
      </c>
      <c r="N144" s="184"/>
      <c r="O144" s="252" t="s">
        <v>1671</v>
      </c>
      <c r="P144" s="198"/>
      <c r="Q144" s="124"/>
    </row>
    <row r="145" spans="1:17" ht="15" customHeight="1">
      <c r="A145" s="41"/>
      <c r="B145" s="63"/>
      <c r="C145" s="67">
        <v>207</v>
      </c>
      <c r="D145" s="162" t="s">
        <v>1294</v>
      </c>
      <c r="E145" s="228" t="s">
        <v>1295</v>
      </c>
      <c r="F145" s="238" t="s">
        <v>1311</v>
      </c>
      <c r="G145" s="186"/>
      <c r="H145" s="198"/>
      <c r="I145" s="249" t="s">
        <v>1475</v>
      </c>
      <c r="J145" s="246" t="s">
        <v>1320</v>
      </c>
      <c r="K145" s="251" t="s">
        <v>1612</v>
      </c>
      <c r="L145" s="243" t="s">
        <v>1351</v>
      </c>
      <c r="M145" s="253" t="s">
        <v>1704</v>
      </c>
      <c r="N145" s="184"/>
      <c r="O145" s="252" t="s">
        <v>1672</v>
      </c>
      <c r="P145" s="198"/>
      <c r="Q145" s="124"/>
    </row>
    <row r="146" spans="1:17" ht="15" customHeight="1">
      <c r="A146" s="41"/>
      <c r="B146" s="63"/>
      <c r="C146" s="67">
        <v>208</v>
      </c>
      <c r="D146" s="162" t="s">
        <v>1266</v>
      </c>
      <c r="E146" s="228" t="s">
        <v>1269</v>
      </c>
      <c r="F146" s="238" t="s">
        <v>1324</v>
      </c>
      <c r="G146" s="186"/>
      <c r="H146" s="198"/>
      <c r="I146" s="249" t="s">
        <v>1476</v>
      </c>
      <c r="J146" s="246" t="s">
        <v>1796</v>
      </c>
      <c r="K146" s="251" t="s">
        <v>1613</v>
      </c>
      <c r="L146" s="243" t="s">
        <v>1352</v>
      </c>
      <c r="M146" s="253" t="s">
        <v>1560</v>
      </c>
      <c r="N146" s="184"/>
      <c r="O146" s="252" t="s">
        <v>1673</v>
      </c>
      <c r="P146" s="198"/>
      <c r="Q146" s="124"/>
    </row>
    <row r="147" spans="1:17" ht="15" customHeight="1">
      <c r="A147" s="41"/>
      <c r="B147" s="63"/>
      <c r="C147" s="67">
        <v>209</v>
      </c>
      <c r="D147" s="139" t="s">
        <v>1151</v>
      </c>
      <c r="E147" s="228" t="s">
        <v>1162</v>
      </c>
      <c r="F147" s="238" t="s">
        <v>1325</v>
      </c>
      <c r="G147" s="186"/>
      <c r="H147" s="198"/>
      <c r="I147" s="249" t="s">
        <v>1477</v>
      </c>
      <c r="J147" s="246" t="s">
        <v>1797</v>
      </c>
      <c r="K147" s="251" t="s">
        <v>1614</v>
      </c>
      <c r="L147" s="243" t="s">
        <v>1353</v>
      </c>
      <c r="M147" s="253" t="s">
        <v>1561</v>
      </c>
      <c r="N147" s="184"/>
      <c r="O147" s="252" t="s">
        <v>1674</v>
      </c>
      <c r="P147" s="198"/>
      <c r="Q147" s="124"/>
    </row>
    <row r="148" spans="1:17" ht="15" customHeight="1">
      <c r="A148" s="41"/>
      <c r="B148" s="63"/>
      <c r="C148" s="67">
        <v>210</v>
      </c>
      <c r="D148" s="139" t="s">
        <v>1152</v>
      </c>
      <c r="E148" s="228" t="s">
        <v>1163</v>
      </c>
      <c r="F148" s="238" t="s">
        <v>1312</v>
      </c>
      <c r="G148" s="186"/>
      <c r="H148" s="198"/>
      <c r="I148" s="249" t="s">
        <v>1478</v>
      </c>
      <c r="J148" s="246" t="s">
        <v>1237</v>
      </c>
      <c r="K148" s="251" t="s">
        <v>1615</v>
      </c>
      <c r="L148" s="243" t="s">
        <v>1354</v>
      </c>
      <c r="M148" s="253" t="s">
        <v>1562</v>
      </c>
      <c r="N148" s="184"/>
      <c r="O148" s="252" t="s">
        <v>1675</v>
      </c>
      <c r="P148" s="198"/>
      <c r="Q148" s="124"/>
    </row>
    <row r="149" spans="1:17" ht="15" customHeight="1">
      <c r="A149" s="41"/>
      <c r="B149" s="64"/>
      <c r="C149" s="67">
        <v>211</v>
      </c>
      <c r="D149" s="191" t="s">
        <v>1251</v>
      </c>
      <c r="E149" s="228" t="s">
        <v>1594</v>
      </c>
      <c r="F149" s="238" t="s">
        <v>1326</v>
      </c>
      <c r="G149" s="186"/>
      <c r="H149" s="198"/>
      <c r="I149" s="249" t="s">
        <v>1479</v>
      </c>
      <c r="J149" s="246" t="s">
        <v>1321</v>
      </c>
      <c r="K149" s="251" t="s">
        <v>1616</v>
      </c>
      <c r="L149" s="243" t="s">
        <v>1355</v>
      </c>
      <c r="M149" s="253" t="s">
        <v>1563</v>
      </c>
      <c r="N149" s="184"/>
      <c r="O149" s="252" t="s">
        <v>1676</v>
      </c>
      <c r="P149" s="198"/>
      <c r="Q149" s="124"/>
    </row>
    <row r="150" spans="1:17" ht="15" customHeight="1">
      <c r="A150" s="41"/>
      <c r="B150" s="64"/>
      <c r="C150" s="67">
        <v>212</v>
      </c>
      <c r="D150" s="191" t="s">
        <v>1206</v>
      </c>
      <c r="E150" s="228" t="s">
        <v>1207</v>
      </c>
      <c r="F150" s="238" t="s">
        <v>1428</v>
      </c>
      <c r="G150" s="186"/>
      <c r="H150" s="198"/>
      <c r="I150" s="249" t="s">
        <v>1480</v>
      </c>
      <c r="J150" s="246" t="s">
        <v>1225</v>
      </c>
      <c r="K150" s="251" t="s">
        <v>1617</v>
      </c>
      <c r="L150" s="243" t="s">
        <v>1356</v>
      </c>
      <c r="M150" s="253" t="s">
        <v>1564</v>
      </c>
      <c r="N150" s="184"/>
      <c r="O150" s="252" t="s">
        <v>1677</v>
      </c>
      <c r="P150" s="198"/>
      <c r="Q150" s="124"/>
    </row>
    <row r="151" spans="1:17" ht="15" customHeight="1">
      <c r="A151" s="41"/>
      <c r="B151" s="64"/>
      <c r="C151" s="67">
        <v>213</v>
      </c>
      <c r="D151" s="160" t="s">
        <v>1210</v>
      </c>
      <c r="E151" s="228" t="s">
        <v>1270</v>
      </c>
      <c r="F151" s="239" t="s">
        <v>1429</v>
      </c>
      <c r="G151" s="186"/>
      <c r="H151" s="198"/>
      <c r="I151" s="249" t="s">
        <v>1481</v>
      </c>
      <c r="J151" s="247" t="s">
        <v>1453</v>
      </c>
      <c r="K151" s="251" t="s">
        <v>1618</v>
      </c>
      <c r="L151" s="243" t="s">
        <v>1357</v>
      </c>
      <c r="M151" s="253" t="s">
        <v>1565</v>
      </c>
      <c r="N151" s="185"/>
      <c r="O151" s="252" t="s">
        <v>1678</v>
      </c>
      <c r="P151" s="198"/>
      <c r="Q151" s="124"/>
    </row>
    <row r="152" spans="1:17" ht="15" customHeight="1">
      <c r="A152" s="41"/>
      <c r="B152" s="64"/>
      <c r="C152" s="67">
        <v>214</v>
      </c>
      <c r="D152" s="139" t="s">
        <v>1249</v>
      </c>
      <c r="E152" s="228" t="s">
        <v>1271</v>
      </c>
      <c r="F152" s="238" t="s">
        <v>1430</v>
      </c>
      <c r="G152" s="186"/>
      <c r="H152" s="198"/>
      <c r="I152" s="249" t="s">
        <v>1482</v>
      </c>
      <c r="J152" s="246" t="s">
        <v>1240</v>
      </c>
      <c r="K152" s="251" t="s">
        <v>1619</v>
      </c>
      <c r="L152" s="243" t="s">
        <v>1358</v>
      </c>
      <c r="M152" s="253" t="s">
        <v>1566</v>
      </c>
      <c r="N152" s="184"/>
      <c r="O152" s="252" t="s">
        <v>1679</v>
      </c>
      <c r="P152" s="198"/>
      <c r="Q152" s="124"/>
    </row>
    <row r="153" spans="1:17" ht="15" customHeight="1">
      <c r="A153" s="41"/>
      <c r="B153" s="65"/>
      <c r="C153" s="67">
        <v>215</v>
      </c>
      <c r="D153" s="141" t="s">
        <v>1153</v>
      </c>
      <c r="E153" s="228" t="s">
        <v>1272</v>
      </c>
      <c r="F153" s="238" t="s">
        <v>1431</v>
      </c>
      <c r="G153" s="186"/>
      <c r="H153" s="198"/>
      <c r="I153" s="249" t="s">
        <v>1483</v>
      </c>
      <c r="J153" s="246" t="s">
        <v>1226</v>
      </c>
      <c r="K153" s="251" t="s">
        <v>1620</v>
      </c>
      <c r="L153" s="243" t="s">
        <v>1359</v>
      </c>
      <c r="M153" s="253" t="s">
        <v>1567</v>
      </c>
      <c r="N153" s="184"/>
      <c r="O153" s="252" t="s">
        <v>1838</v>
      </c>
      <c r="P153" s="198"/>
      <c r="Q153" s="124"/>
    </row>
    <row r="154" spans="1:17" ht="15" customHeight="1">
      <c r="A154" s="41"/>
      <c r="B154" s="65"/>
      <c r="C154" s="67">
        <v>216</v>
      </c>
      <c r="D154" s="139" t="s">
        <v>1156</v>
      </c>
      <c r="E154" s="228" t="s">
        <v>1164</v>
      </c>
      <c r="F154" s="238" t="s">
        <v>1327</v>
      </c>
      <c r="G154" s="186"/>
      <c r="H154" s="198"/>
      <c r="I154" s="249" t="s">
        <v>1484</v>
      </c>
      <c r="J154" s="246" t="s">
        <v>1227</v>
      </c>
      <c r="K154" s="251" t="s">
        <v>1621</v>
      </c>
      <c r="L154" s="243" t="s">
        <v>1360</v>
      </c>
      <c r="M154" s="253" t="s">
        <v>1705</v>
      </c>
      <c r="N154" s="185"/>
      <c r="O154" s="252" t="s">
        <v>1680</v>
      </c>
      <c r="P154" s="198"/>
      <c r="Q154" s="124"/>
    </row>
    <row r="155" spans="1:17" ht="15" customHeight="1">
      <c r="A155" s="41"/>
      <c r="B155" s="64"/>
      <c r="C155" s="67">
        <v>217</v>
      </c>
      <c r="D155" s="141" t="s">
        <v>1157</v>
      </c>
      <c r="E155" s="228" t="s">
        <v>1165</v>
      </c>
      <c r="F155" s="238" t="s">
        <v>1313</v>
      </c>
      <c r="G155" s="186"/>
      <c r="H155" s="198"/>
      <c r="I155" s="249" t="s">
        <v>1485</v>
      </c>
      <c r="J155" s="246" t="s">
        <v>1532</v>
      </c>
      <c r="K155" s="251" t="s">
        <v>1622</v>
      </c>
      <c r="L155" s="243" t="s">
        <v>1361</v>
      </c>
      <c r="M155" s="253" t="s">
        <v>1706</v>
      </c>
      <c r="N155" s="184"/>
      <c r="O155" s="252" t="s">
        <v>1681</v>
      </c>
      <c r="P155" s="198"/>
      <c r="Q155" s="124"/>
    </row>
    <row r="156" spans="1:17" ht="15" customHeight="1">
      <c r="A156" s="41"/>
      <c r="B156" s="73"/>
      <c r="C156" s="67">
        <v>218</v>
      </c>
      <c r="D156" s="191" t="s">
        <v>1158</v>
      </c>
      <c r="E156" s="228" t="s">
        <v>1273</v>
      </c>
      <c r="F156" s="238" t="s">
        <v>1314</v>
      </c>
      <c r="G156" s="186"/>
      <c r="H156" s="198"/>
      <c r="I156" s="249" t="s">
        <v>1486</v>
      </c>
      <c r="J156" s="246" t="s">
        <v>1463</v>
      </c>
      <c r="K156" s="251" t="s">
        <v>1623</v>
      </c>
      <c r="L156" s="243" t="s">
        <v>1362</v>
      </c>
      <c r="M156" s="253" t="s">
        <v>1568</v>
      </c>
      <c r="N156" s="184"/>
      <c r="O156" s="252" t="s">
        <v>1682</v>
      </c>
      <c r="P156" s="198"/>
      <c r="Q156" s="124"/>
    </row>
    <row r="157" spans="1:17" ht="15" customHeight="1">
      <c r="A157" s="41"/>
      <c r="B157" s="83"/>
      <c r="C157" s="67">
        <v>219</v>
      </c>
      <c r="D157" s="191" t="s">
        <v>1160</v>
      </c>
      <c r="E157" s="228" t="s">
        <v>1274</v>
      </c>
      <c r="F157" s="238" t="s">
        <v>1219</v>
      </c>
      <c r="G157" s="186"/>
      <c r="H157" s="198"/>
      <c r="I157" s="249" t="s">
        <v>1487</v>
      </c>
      <c r="J157" s="246" t="s">
        <v>1450</v>
      </c>
      <c r="K157" s="251" t="s">
        <v>1624</v>
      </c>
      <c r="L157" s="243" t="s">
        <v>1363</v>
      </c>
      <c r="M157" s="253" t="s">
        <v>1569</v>
      </c>
      <c r="N157" s="184"/>
      <c r="O157" s="252" t="s">
        <v>1683</v>
      </c>
      <c r="P157" s="198"/>
      <c r="Q157" s="124"/>
    </row>
    <row r="158" spans="1:17" ht="15" customHeight="1">
      <c r="A158" s="41"/>
      <c r="B158" s="64"/>
      <c r="C158" s="67">
        <v>220</v>
      </c>
      <c r="D158" s="191" t="s">
        <v>1159</v>
      </c>
      <c r="E158" s="228" t="s">
        <v>1209</v>
      </c>
      <c r="F158" s="238" t="s">
        <v>1432</v>
      </c>
      <c r="G158" s="186"/>
      <c r="H158" s="198"/>
      <c r="I158" s="249" t="s">
        <v>1488</v>
      </c>
      <c r="J158" s="246" t="s">
        <v>1393</v>
      </c>
      <c r="K158" s="251" t="s">
        <v>1625</v>
      </c>
      <c r="L158" s="243" t="s">
        <v>1364</v>
      </c>
      <c r="M158" s="253" t="s">
        <v>1570</v>
      </c>
      <c r="N158" s="184"/>
      <c r="O158" s="252" t="s">
        <v>1684</v>
      </c>
      <c r="P158" s="198"/>
      <c r="Q158" s="124"/>
    </row>
    <row r="159" spans="1:17" ht="15" customHeight="1">
      <c r="A159" s="41"/>
      <c r="B159" s="73"/>
      <c r="C159" s="67">
        <v>221</v>
      </c>
      <c r="D159" s="139" t="s">
        <v>1155</v>
      </c>
      <c r="E159" s="228" t="s">
        <v>1166</v>
      </c>
      <c r="F159" s="238" t="s">
        <v>1220</v>
      </c>
      <c r="G159" s="186"/>
      <c r="H159" s="198"/>
      <c r="I159" s="249" t="s">
        <v>1489</v>
      </c>
      <c r="J159" s="246" t="s">
        <v>1228</v>
      </c>
      <c r="K159" s="251" t="s">
        <v>1626</v>
      </c>
      <c r="L159" s="243" t="s">
        <v>1365</v>
      </c>
      <c r="M159" s="253" t="s">
        <v>1571</v>
      </c>
      <c r="N159" s="184"/>
      <c r="O159" s="252" t="s">
        <v>1685</v>
      </c>
      <c r="P159" s="198"/>
      <c r="Q159" s="124"/>
    </row>
    <row r="160" spans="1:17" ht="15" customHeight="1">
      <c r="A160" s="41"/>
      <c r="B160" s="64"/>
      <c r="C160" s="67">
        <v>222</v>
      </c>
      <c r="D160" s="191" t="s">
        <v>1252</v>
      </c>
      <c r="E160" s="228" t="s">
        <v>1275</v>
      </c>
      <c r="F160" s="238" t="s">
        <v>1433</v>
      </c>
      <c r="G160" s="186"/>
      <c r="H160" s="198"/>
      <c r="I160" s="249" t="s">
        <v>1490</v>
      </c>
      <c r="J160" s="246" t="s">
        <v>1394</v>
      </c>
      <c r="K160" s="251" t="s">
        <v>1627</v>
      </c>
      <c r="L160" s="243" t="s">
        <v>1366</v>
      </c>
      <c r="M160" s="253" t="s">
        <v>1572</v>
      </c>
      <c r="N160" s="184"/>
      <c r="O160" s="252" t="s">
        <v>1686</v>
      </c>
      <c r="P160" s="198"/>
      <c r="Q160" s="124"/>
    </row>
    <row r="161" spans="1:17" ht="15" customHeight="1">
      <c r="A161" s="41"/>
      <c r="B161" s="64"/>
      <c r="C161" s="67">
        <v>223</v>
      </c>
      <c r="D161" s="139" t="s">
        <v>1303</v>
      </c>
      <c r="E161" s="228" t="s">
        <v>1464</v>
      </c>
      <c r="F161" s="238" t="s">
        <v>1434</v>
      </c>
      <c r="G161" s="186"/>
      <c r="H161" s="198"/>
      <c r="I161" s="249" t="s">
        <v>1491</v>
      </c>
      <c r="J161" s="246" t="s">
        <v>1460</v>
      </c>
      <c r="K161" s="251" t="s">
        <v>1744</v>
      </c>
      <c r="L161" s="243" t="s">
        <v>1406</v>
      </c>
      <c r="M161" s="253" t="s">
        <v>1573</v>
      </c>
      <c r="N161" s="184"/>
      <c r="O161" s="252" t="s">
        <v>1687</v>
      </c>
      <c r="P161" s="198"/>
      <c r="Q161" s="124"/>
    </row>
    <row r="162" spans="1:17" ht="15" customHeight="1">
      <c r="A162" s="41"/>
      <c r="B162" s="73"/>
      <c r="C162" s="67">
        <v>224</v>
      </c>
      <c r="D162" s="191" t="s">
        <v>1205</v>
      </c>
      <c r="E162" s="228" t="s">
        <v>1208</v>
      </c>
      <c r="F162" s="240" t="s">
        <v>1435</v>
      </c>
      <c r="G162" s="186"/>
      <c r="H162" s="198"/>
      <c r="I162" s="249" t="s">
        <v>1492</v>
      </c>
      <c r="J162" s="246" t="s">
        <v>1239</v>
      </c>
      <c r="K162" s="251" t="s">
        <v>1628</v>
      </c>
      <c r="L162" s="243" t="s">
        <v>1367</v>
      </c>
      <c r="M162" s="253" t="s">
        <v>1574</v>
      </c>
      <c r="N162" s="184"/>
      <c r="O162" s="252" t="s">
        <v>1688</v>
      </c>
      <c r="P162" s="198"/>
      <c r="Q162" s="124"/>
    </row>
    <row r="163" spans="1:17" ht="15" customHeight="1">
      <c r="A163" s="41"/>
      <c r="B163" s="64"/>
      <c r="C163" s="67">
        <v>225</v>
      </c>
      <c r="D163" s="150" t="s">
        <v>1167</v>
      </c>
      <c r="E163" s="230" t="s">
        <v>1212</v>
      </c>
      <c r="F163" s="235" t="s">
        <v>1436</v>
      </c>
      <c r="G163" s="186"/>
      <c r="H163" s="198"/>
      <c r="I163" s="250" t="s">
        <v>1493</v>
      </c>
      <c r="J163" s="200" t="s">
        <v>1395</v>
      </c>
      <c r="K163" s="1" t="s">
        <v>1629</v>
      </c>
      <c r="L163" s="242" t="s">
        <v>1407</v>
      </c>
      <c r="M163" s="254" t="s">
        <v>1707</v>
      </c>
      <c r="N163" s="184"/>
      <c r="O163" s="255" t="s">
        <v>1818</v>
      </c>
      <c r="P163" s="198"/>
      <c r="Q163" s="124"/>
    </row>
    <row r="164" spans="1:17" ht="15" customHeight="1">
      <c r="A164" s="41"/>
      <c r="B164" s="64"/>
      <c r="C164" s="67">
        <v>226</v>
      </c>
      <c r="D164" s="190" t="s">
        <v>1168</v>
      </c>
      <c r="E164" s="230" t="s">
        <v>1276</v>
      </c>
      <c r="F164" s="235" t="s">
        <v>1221</v>
      </c>
      <c r="G164" s="186"/>
      <c r="H164" s="198"/>
      <c r="I164" s="250" t="s">
        <v>1494</v>
      </c>
      <c r="J164" s="200" t="s">
        <v>1241</v>
      </c>
      <c r="K164" s="1" t="s">
        <v>1630</v>
      </c>
      <c r="L164" s="242" t="s">
        <v>1408</v>
      </c>
      <c r="M164" s="254" t="s">
        <v>1708</v>
      </c>
      <c r="N164" s="184"/>
      <c r="O164" s="255" t="s">
        <v>1727</v>
      </c>
      <c r="P164" s="198"/>
      <c r="Q164" s="124"/>
    </row>
    <row r="165" spans="1:17" ht="15" customHeight="1">
      <c r="A165" s="41"/>
      <c r="B165" s="73"/>
      <c r="C165" s="67">
        <v>227</v>
      </c>
      <c r="D165" s="138" t="s">
        <v>1184</v>
      </c>
      <c r="E165" s="231" t="s">
        <v>1277</v>
      </c>
      <c r="F165" s="235" t="s">
        <v>1437</v>
      </c>
      <c r="G165" s="186"/>
      <c r="H165" s="198"/>
      <c r="I165" s="250" t="s">
        <v>1495</v>
      </c>
      <c r="J165" s="200" t="s">
        <v>1242</v>
      </c>
      <c r="K165" s="1" t="s">
        <v>1631</v>
      </c>
      <c r="L165" s="242" t="s">
        <v>1368</v>
      </c>
      <c r="M165" s="254" t="s">
        <v>1709</v>
      </c>
      <c r="N165" s="184"/>
      <c r="O165" s="255" t="s">
        <v>1839</v>
      </c>
      <c r="P165" s="198"/>
      <c r="Q165" s="124"/>
    </row>
    <row r="166" spans="1:17" ht="15" customHeight="1">
      <c r="A166" s="41"/>
      <c r="B166" s="64"/>
      <c r="C166" s="67">
        <v>228</v>
      </c>
      <c r="D166" s="168" t="s">
        <v>1169</v>
      </c>
      <c r="E166" s="230" t="s">
        <v>1278</v>
      </c>
      <c r="F166" s="235" t="s">
        <v>1328</v>
      </c>
      <c r="G166" s="186"/>
      <c r="H166" s="198"/>
      <c r="I166" s="250" t="s">
        <v>1396</v>
      </c>
      <c r="J166" s="200" t="s">
        <v>1396</v>
      </c>
      <c r="K166" s="1" t="s">
        <v>1632</v>
      </c>
      <c r="L166" s="242" t="s">
        <v>1369</v>
      </c>
      <c r="M166" s="254" t="s">
        <v>1575</v>
      </c>
      <c r="N166" s="185"/>
      <c r="O166" s="255" t="s">
        <v>1728</v>
      </c>
      <c r="P166" s="198"/>
      <c r="Q166" s="124"/>
    </row>
    <row r="167" spans="1:17" s="86" customFormat="1" ht="15" customHeight="1">
      <c r="A167" s="84"/>
      <c r="B167" s="85"/>
      <c r="C167" s="67">
        <v>229</v>
      </c>
      <c r="D167" s="168" t="s">
        <v>1185</v>
      </c>
      <c r="E167" s="230" t="s">
        <v>1279</v>
      </c>
      <c r="F167" s="235" t="s">
        <v>1222</v>
      </c>
      <c r="G167" s="186"/>
      <c r="H167" s="198"/>
      <c r="I167" s="250" t="s">
        <v>1496</v>
      </c>
      <c r="J167" s="200" t="s">
        <v>1397</v>
      </c>
      <c r="K167" s="1" t="s">
        <v>1633</v>
      </c>
      <c r="L167" s="242" t="s">
        <v>1370</v>
      </c>
      <c r="M167" s="254" t="s">
        <v>1576</v>
      </c>
      <c r="N167" s="184"/>
      <c r="O167" s="255" t="s">
        <v>1729</v>
      </c>
      <c r="P167" s="198"/>
      <c r="Q167" s="124"/>
    </row>
    <row r="168" spans="1:17" ht="15" customHeight="1">
      <c r="A168" s="41"/>
      <c r="B168" s="65"/>
      <c r="C168" s="67">
        <v>230</v>
      </c>
      <c r="D168" s="136" t="s">
        <v>1170</v>
      </c>
      <c r="E168" s="231" t="s">
        <v>1280</v>
      </c>
      <c r="F168" s="235" t="s">
        <v>1329</v>
      </c>
      <c r="G168" s="186"/>
      <c r="H168" s="198"/>
      <c r="I168" s="250" t="s">
        <v>1497</v>
      </c>
      <c r="J168" s="200" t="s">
        <v>1243</v>
      </c>
      <c r="K168" s="1" t="s">
        <v>1634</v>
      </c>
      <c r="L168" s="242" t="s">
        <v>1371</v>
      </c>
      <c r="M168" s="254" t="s">
        <v>1840</v>
      </c>
      <c r="N168" s="184"/>
      <c r="O168" s="255" t="s">
        <v>1730</v>
      </c>
      <c r="P168" s="198"/>
      <c r="Q168" s="124"/>
    </row>
    <row r="169" spans="1:17" ht="15" customHeight="1">
      <c r="A169" s="41"/>
      <c r="B169" s="103"/>
      <c r="C169" s="67">
        <v>231</v>
      </c>
      <c r="D169" s="136" t="s">
        <v>1171</v>
      </c>
      <c r="E169" s="230" t="s">
        <v>1187</v>
      </c>
      <c r="F169" s="235" t="s">
        <v>1315</v>
      </c>
      <c r="G169" s="186"/>
      <c r="H169" s="198"/>
      <c r="I169" s="250" t="s">
        <v>1498</v>
      </c>
      <c r="J169" s="200" t="s">
        <v>1398</v>
      </c>
      <c r="K169" s="1" t="s">
        <v>1635</v>
      </c>
      <c r="L169" s="242" t="s">
        <v>1372</v>
      </c>
      <c r="M169" s="254" t="s">
        <v>1577</v>
      </c>
      <c r="N169" s="184"/>
      <c r="O169" s="255" t="s">
        <v>1731</v>
      </c>
      <c r="P169" s="198"/>
      <c r="Q169" s="124"/>
    </row>
    <row r="170" spans="1:17" ht="15" customHeight="1">
      <c r="A170" s="41"/>
      <c r="B170" s="103"/>
      <c r="C170" s="67">
        <v>232</v>
      </c>
      <c r="D170" s="136" t="s">
        <v>1534</v>
      </c>
      <c r="E170" s="230" t="s">
        <v>1535</v>
      </c>
      <c r="F170" s="235" t="s">
        <v>1538</v>
      </c>
      <c r="G170" s="186"/>
      <c r="H170" s="198"/>
      <c r="I170" s="250" t="s">
        <v>1499</v>
      </c>
      <c r="J170" s="200" t="s">
        <v>1536</v>
      </c>
      <c r="K170" s="1" t="s">
        <v>1696</v>
      </c>
      <c r="L170" s="242" t="s">
        <v>1537</v>
      </c>
      <c r="M170" s="254" t="s">
        <v>1710</v>
      </c>
      <c r="N170" s="184"/>
      <c r="O170" s="255" t="s">
        <v>1732</v>
      </c>
      <c r="P170" s="198"/>
      <c r="Q170" s="124"/>
    </row>
    <row r="171" spans="1:17" ht="15" customHeight="1">
      <c r="A171" s="41"/>
      <c r="B171" s="103"/>
      <c r="C171" s="67">
        <v>233</v>
      </c>
      <c r="D171" s="136" t="s">
        <v>1186</v>
      </c>
      <c r="E171" s="230" t="s">
        <v>1216</v>
      </c>
      <c r="F171" s="235" t="s">
        <v>1330</v>
      </c>
      <c r="G171" s="186"/>
      <c r="H171" s="198"/>
      <c r="I171" s="250" t="s">
        <v>1500</v>
      </c>
      <c r="J171" s="200" t="s">
        <v>1399</v>
      </c>
      <c r="K171" s="1" t="s">
        <v>1636</v>
      </c>
      <c r="L171" s="242" t="s">
        <v>1373</v>
      </c>
      <c r="M171" s="254" t="s">
        <v>1711</v>
      </c>
      <c r="N171" s="184"/>
      <c r="O171" s="255" t="s">
        <v>1733</v>
      </c>
      <c r="P171" s="198"/>
      <c r="Q171" s="124"/>
    </row>
    <row r="172" spans="1:17" ht="15" customHeight="1">
      <c r="A172" s="41"/>
      <c r="B172" s="82"/>
      <c r="C172" s="67">
        <v>234</v>
      </c>
      <c r="D172" s="136" t="s">
        <v>1173</v>
      </c>
      <c r="E172" s="230" t="s">
        <v>1175</v>
      </c>
      <c r="F172" s="235" t="s">
        <v>1438</v>
      </c>
      <c r="G172" s="186"/>
      <c r="H172" s="198"/>
      <c r="I172" s="250" t="s">
        <v>1501</v>
      </c>
      <c r="J172" s="200" t="s">
        <v>1400</v>
      </c>
      <c r="K172" s="1" t="s">
        <v>1637</v>
      </c>
      <c r="L172" s="242" t="s">
        <v>1374</v>
      </c>
      <c r="M172" s="254" t="s">
        <v>1712</v>
      </c>
      <c r="N172" s="184"/>
      <c r="O172" s="255" t="s">
        <v>1734</v>
      </c>
      <c r="P172" s="198"/>
      <c r="Q172" s="124"/>
    </row>
    <row r="173" spans="1:17" ht="15" customHeight="1">
      <c r="A173" s="41"/>
      <c r="B173" s="103"/>
      <c r="C173" s="67">
        <v>235</v>
      </c>
      <c r="D173" s="136" t="s">
        <v>1261</v>
      </c>
      <c r="E173" s="231" t="s">
        <v>1299</v>
      </c>
      <c r="F173" s="235" t="s">
        <v>1331</v>
      </c>
      <c r="G173" s="186"/>
      <c r="H173" s="198"/>
      <c r="I173" s="250" t="s">
        <v>1502</v>
      </c>
      <c r="J173" s="200" t="s">
        <v>1229</v>
      </c>
      <c r="K173" s="1" t="s">
        <v>1638</v>
      </c>
      <c r="L173" s="242" t="s">
        <v>1375</v>
      </c>
      <c r="M173" s="254" t="s">
        <v>1713</v>
      </c>
      <c r="N173" s="184"/>
      <c r="O173" s="255" t="s">
        <v>1735</v>
      </c>
      <c r="P173" s="198"/>
      <c r="Q173" s="124"/>
    </row>
    <row r="174" spans="1:17" ht="15" customHeight="1">
      <c r="A174" s="41"/>
      <c r="B174" s="73"/>
      <c r="C174" s="67">
        <v>236</v>
      </c>
      <c r="D174" s="136" t="s">
        <v>1298</v>
      </c>
      <c r="E174" s="248" t="s">
        <v>1300</v>
      </c>
      <c r="F174" s="235" t="s">
        <v>1439</v>
      </c>
      <c r="G174" s="186"/>
      <c r="H174" s="198"/>
      <c r="I174" s="250" t="s">
        <v>1503</v>
      </c>
      <c r="J174" s="200" t="s">
        <v>1401</v>
      </c>
      <c r="K174" s="1" t="s">
        <v>1639</v>
      </c>
      <c r="L174" s="242" t="s">
        <v>1376</v>
      </c>
      <c r="M174" s="254" t="s">
        <v>1714</v>
      </c>
      <c r="N174" s="184"/>
      <c r="O174" s="255" t="s">
        <v>1736</v>
      </c>
      <c r="P174" s="198"/>
      <c r="Q174" s="124"/>
    </row>
    <row r="175" spans="1:17" ht="15" customHeight="1">
      <c r="A175" s="41"/>
      <c r="B175" s="103"/>
      <c r="C175" s="67">
        <v>237</v>
      </c>
      <c r="D175" s="138" t="s">
        <v>1257</v>
      </c>
      <c r="E175" s="232" t="s">
        <v>1296</v>
      </c>
      <c r="F175" s="235" t="s">
        <v>1316</v>
      </c>
      <c r="G175" s="186"/>
      <c r="H175" s="198"/>
      <c r="I175" s="250" t="s">
        <v>1504</v>
      </c>
      <c r="J175" s="200" t="s">
        <v>1402</v>
      </c>
      <c r="K175" s="1" t="s">
        <v>1697</v>
      </c>
      <c r="L175" s="242" t="s">
        <v>1377</v>
      </c>
      <c r="M175" s="254" t="s">
        <v>1715</v>
      </c>
      <c r="N175" s="184"/>
      <c r="O175" s="255" t="s">
        <v>1737</v>
      </c>
      <c r="P175" s="198"/>
      <c r="Q175" s="124"/>
    </row>
    <row r="176" spans="1:17" ht="15" customHeight="1">
      <c r="A176" s="41"/>
      <c r="B176" s="103"/>
      <c r="C176" s="67">
        <v>238</v>
      </c>
      <c r="D176" s="136" t="s">
        <v>1258</v>
      </c>
      <c r="E176" s="230" t="s">
        <v>1302</v>
      </c>
      <c r="F176" s="235" t="s">
        <v>1440</v>
      </c>
      <c r="G176" s="186"/>
      <c r="H176" s="198"/>
      <c r="I176" s="250" t="s">
        <v>1505</v>
      </c>
      <c r="J176" s="200" t="s">
        <v>1533</v>
      </c>
      <c r="K176" s="1" t="s">
        <v>1640</v>
      </c>
      <c r="L176" s="242" t="s">
        <v>1409</v>
      </c>
      <c r="M176" s="254" t="s">
        <v>1716</v>
      </c>
      <c r="N176" s="184"/>
      <c r="O176" s="255" t="s">
        <v>1738</v>
      </c>
      <c r="P176" s="198"/>
      <c r="Q176" s="124"/>
    </row>
    <row r="177" spans="1:17" ht="15" customHeight="1">
      <c r="A177" s="41"/>
      <c r="B177" s="73"/>
      <c r="C177" s="67">
        <v>239</v>
      </c>
      <c r="D177" s="138" t="s">
        <v>1174</v>
      </c>
      <c r="E177" s="231" t="s">
        <v>1301</v>
      </c>
      <c r="F177" s="235" t="s">
        <v>1441</v>
      </c>
      <c r="G177" s="186"/>
      <c r="H177" s="198"/>
      <c r="I177" s="250" t="s">
        <v>1506</v>
      </c>
      <c r="J177" s="200" t="s">
        <v>1230</v>
      </c>
      <c r="K177" s="1" t="s">
        <v>1641</v>
      </c>
      <c r="L177" s="242" t="s">
        <v>1410</v>
      </c>
      <c r="M177" s="254" t="s">
        <v>1717</v>
      </c>
      <c r="N177" s="184"/>
      <c r="O177" s="255" t="s">
        <v>1819</v>
      </c>
      <c r="P177" s="198"/>
      <c r="Q177" s="124"/>
    </row>
    <row r="178" spans="1:17" ht="15" customHeight="1">
      <c r="A178" s="41"/>
      <c r="B178" s="64"/>
      <c r="C178" s="67">
        <v>240</v>
      </c>
      <c r="D178" s="136" t="s">
        <v>1260</v>
      </c>
      <c r="E178" s="230" t="s">
        <v>1213</v>
      </c>
      <c r="F178" s="235" t="s">
        <v>1332</v>
      </c>
      <c r="G178" s="186"/>
      <c r="H178" s="198"/>
      <c r="I178" s="250" t="s">
        <v>1507</v>
      </c>
      <c r="J178" s="200" t="s">
        <v>1244</v>
      </c>
      <c r="K178" s="1" t="s">
        <v>1642</v>
      </c>
      <c r="L178" s="242" t="s">
        <v>1378</v>
      </c>
      <c r="M178" s="254" t="s">
        <v>1718</v>
      </c>
      <c r="N178" s="184"/>
      <c r="O178" s="255" t="s">
        <v>1739</v>
      </c>
      <c r="P178" s="198"/>
      <c r="Q178" s="124"/>
    </row>
    <row r="179" spans="1:17" ht="15" customHeight="1">
      <c r="A179" s="41"/>
      <c r="B179" s="64"/>
      <c r="C179" s="67">
        <v>241</v>
      </c>
      <c r="D179" s="136" t="s">
        <v>1259</v>
      </c>
      <c r="E179" s="230" t="s">
        <v>1465</v>
      </c>
      <c r="F179" s="237" t="s">
        <v>1442</v>
      </c>
      <c r="G179" s="186"/>
      <c r="H179" s="198"/>
      <c r="I179" s="250" t="s">
        <v>1508</v>
      </c>
      <c r="J179" s="244" t="s">
        <v>1403</v>
      </c>
      <c r="K179" s="1" t="s">
        <v>1643</v>
      </c>
      <c r="L179" s="242" t="s">
        <v>1379</v>
      </c>
      <c r="M179" s="254" t="s">
        <v>1578</v>
      </c>
      <c r="N179" s="184"/>
      <c r="O179" s="255" t="s">
        <v>1740</v>
      </c>
      <c r="P179" s="198"/>
      <c r="Q179" s="124"/>
    </row>
    <row r="180" spans="1:17" ht="15" customHeight="1">
      <c r="A180" s="41"/>
      <c r="B180" s="87"/>
      <c r="C180" s="67">
        <v>242</v>
      </c>
      <c r="D180" s="136" t="s">
        <v>1189</v>
      </c>
      <c r="E180" s="230" t="s">
        <v>1281</v>
      </c>
      <c r="F180" s="235" t="s">
        <v>1333</v>
      </c>
      <c r="G180" s="186"/>
      <c r="H180" s="198"/>
      <c r="I180" s="250" t="s">
        <v>1509</v>
      </c>
      <c r="J180" s="200" t="s">
        <v>1231</v>
      </c>
      <c r="K180" s="1" t="s">
        <v>1644</v>
      </c>
      <c r="L180" s="242" t="s">
        <v>1380</v>
      </c>
      <c r="M180" s="254" t="s">
        <v>1579</v>
      </c>
      <c r="N180" s="184"/>
      <c r="O180" s="255" t="s">
        <v>1741</v>
      </c>
      <c r="P180" s="198"/>
      <c r="Q180" s="124"/>
    </row>
    <row r="181" spans="1:17" ht="15" customHeight="1">
      <c r="A181" s="41"/>
      <c r="B181" s="64"/>
      <c r="C181" s="67">
        <v>243</v>
      </c>
      <c r="D181" s="136" t="s">
        <v>1176</v>
      </c>
      <c r="E181" s="233" t="s">
        <v>1466</v>
      </c>
      <c r="F181" s="235" t="s">
        <v>1334</v>
      </c>
      <c r="G181" s="186"/>
      <c r="H181" s="168"/>
      <c r="I181" s="250" t="s">
        <v>1510</v>
      </c>
      <c r="J181" s="200" t="s">
        <v>1461</v>
      </c>
      <c r="K181" s="1" t="s">
        <v>1743</v>
      </c>
      <c r="L181" s="242" t="s">
        <v>1381</v>
      </c>
      <c r="M181" s="254" t="s">
        <v>1719</v>
      </c>
      <c r="N181" s="184"/>
      <c r="O181" s="255" t="s">
        <v>1742</v>
      </c>
      <c r="P181" s="200"/>
      <c r="Q181" s="124"/>
    </row>
    <row r="182" spans="1:17" ht="15" customHeight="1">
      <c r="A182" s="41"/>
      <c r="B182" s="64"/>
      <c r="C182" s="67">
        <v>244</v>
      </c>
      <c r="D182" s="136" t="s">
        <v>1217</v>
      </c>
      <c r="E182" s="234" t="s">
        <v>1218</v>
      </c>
      <c r="F182" s="235" t="s">
        <v>1335</v>
      </c>
      <c r="G182" s="186"/>
      <c r="H182" s="200"/>
      <c r="I182" s="250" t="s">
        <v>1511</v>
      </c>
      <c r="J182" s="200" t="s">
        <v>1404</v>
      </c>
      <c r="K182" s="1" t="s">
        <v>1645</v>
      </c>
      <c r="L182" s="242" t="s">
        <v>1411</v>
      </c>
      <c r="M182" s="254" t="s">
        <v>1720</v>
      </c>
      <c r="N182" s="184"/>
      <c r="O182" s="255" t="s">
        <v>1820</v>
      </c>
      <c r="P182" s="200"/>
      <c r="Q182" s="124"/>
    </row>
    <row r="183" spans="1:17" ht="15" customHeight="1">
      <c r="A183" s="41"/>
      <c r="B183" s="41"/>
      <c r="C183" s="67">
        <v>245</v>
      </c>
      <c r="D183" s="192" t="s">
        <v>1190</v>
      </c>
      <c r="E183" s="227" t="s">
        <v>1191</v>
      </c>
      <c r="F183" s="235" t="s">
        <v>1443</v>
      </c>
      <c r="G183" s="186"/>
      <c r="H183" s="200"/>
      <c r="I183" s="250" t="s">
        <v>1512</v>
      </c>
      <c r="J183" s="200" t="s">
        <v>1405</v>
      </c>
      <c r="K183" s="1" t="s">
        <v>1646</v>
      </c>
      <c r="L183" s="242" t="s">
        <v>1382</v>
      </c>
      <c r="M183" s="254" t="s">
        <v>1580</v>
      </c>
      <c r="N183" s="184"/>
      <c r="O183" s="255" t="s">
        <v>1821</v>
      </c>
      <c r="P183" s="200"/>
      <c r="Q183" s="124"/>
    </row>
    <row r="184" spans="1:17" ht="15" customHeight="1">
      <c r="A184" s="41"/>
      <c r="B184" s="41"/>
      <c r="C184" s="67">
        <v>246</v>
      </c>
      <c r="D184" s="192" t="s">
        <v>1192</v>
      </c>
      <c r="E184" s="227" t="s">
        <v>1307</v>
      </c>
      <c r="F184" s="235" t="s">
        <v>1336</v>
      </c>
      <c r="G184" s="186"/>
      <c r="H184" s="200"/>
      <c r="I184" s="250" t="s">
        <v>1513</v>
      </c>
      <c r="J184" s="200" t="s">
        <v>1245</v>
      </c>
      <c r="K184" s="1" t="s">
        <v>1647</v>
      </c>
      <c r="L184" s="242" t="s">
        <v>1383</v>
      </c>
      <c r="M184" s="254" t="s">
        <v>1581</v>
      </c>
      <c r="N184" s="184"/>
      <c r="O184" s="255" t="s">
        <v>1822</v>
      </c>
      <c r="P184" s="200"/>
      <c r="Q184" s="124"/>
    </row>
    <row r="185" spans="1:17" ht="15" customHeight="1">
      <c r="A185" s="41"/>
      <c r="B185" s="64"/>
      <c r="C185" s="67">
        <v>247</v>
      </c>
      <c r="D185" s="192" t="s">
        <v>1256</v>
      </c>
      <c r="E185" s="227" t="s">
        <v>1282</v>
      </c>
      <c r="F185" s="235" t="s">
        <v>1444</v>
      </c>
      <c r="G185" s="186"/>
      <c r="H185" s="200"/>
      <c r="I185" s="250" t="s">
        <v>1514</v>
      </c>
      <c r="J185" s="200" t="s">
        <v>1459</v>
      </c>
      <c r="K185" s="1" t="s">
        <v>1648</v>
      </c>
      <c r="L185" s="242" t="s">
        <v>1384</v>
      </c>
      <c r="M185" s="254" t="s">
        <v>1582</v>
      </c>
      <c r="N185" s="184"/>
      <c r="O185" s="255" t="s">
        <v>1745</v>
      </c>
      <c r="P185" s="200"/>
      <c r="Q185" s="124"/>
    </row>
    <row r="186" spans="1:17" ht="15" customHeight="1">
      <c r="A186" s="41"/>
      <c r="B186" s="64"/>
      <c r="C186" s="67">
        <v>248</v>
      </c>
      <c r="D186" s="194" t="s">
        <v>1283</v>
      </c>
      <c r="E186" s="227" t="s">
        <v>1284</v>
      </c>
      <c r="F186" s="235" t="s">
        <v>1337</v>
      </c>
      <c r="G186" s="186"/>
      <c r="H186" s="200"/>
      <c r="I186" s="250" t="s">
        <v>1515</v>
      </c>
      <c r="J186" s="200" t="s">
        <v>1793</v>
      </c>
      <c r="K186" s="1" t="s">
        <v>1649</v>
      </c>
      <c r="L186" s="242" t="s">
        <v>1412</v>
      </c>
      <c r="M186" s="254" t="s">
        <v>1721</v>
      </c>
      <c r="N186" s="184"/>
      <c r="O186" s="255" t="s">
        <v>1823</v>
      </c>
      <c r="P186" s="200"/>
      <c r="Q186" s="124"/>
    </row>
    <row r="187" spans="1:17" ht="15" customHeight="1">
      <c r="A187" s="41"/>
      <c r="B187" s="64"/>
      <c r="C187" s="67">
        <v>249</v>
      </c>
      <c r="D187" s="194" t="s">
        <v>1305</v>
      </c>
      <c r="E187" s="227" t="s">
        <v>1306</v>
      </c>
      <c r="F187" s="235" t="s">
        <v>1338</v>
      </c>
      <c r="G187" s="186"/>
      <c r="H187" s="200"/>
      <c r="I187" s="250" t="s">
        <v>1516</v>
      </c>
      <c r="J187" s="200" t="s">
        <v>1232</v>
      </c>
      <c r="K187" s="1" t="s">
        <v>1650</v>
      </c>
      <c r="L187" s="242" t="s">
        <v>1413</v>
      </c>
      <c r="M187" s="254" t="s">
        <v>1583</v>
      </c>
      <c r="N187" s="184"/>
      <c r="O187" s="255" t="s">
        <v>1824</v>
      </c>
      <c r="P187" s="200"/>
      <c r="Q187" s="124"/>
    </row>
    <row r="188" spans="1:17" ht="15" customHeight="1">
      <c r="A188" s="41"/>
      <c r="B188" s="63"/>
      <c r="C188" s="67">
        <v>250</v>
      </c>
      <c r="D188" s="194" t="s">
        <v>1193</v>
      </c>
      <c r="E188" s="227" t="s">
        <v>1194</v>
      </c>
      <c r="F188" s="235" t="s">
        <v>1445</v>
      </c>
      <c r="G188" s="186"/>
      <c r="H188" s="200"/>
      <c r="I188" s="250" t="s">
        <v>1517</v>
      </c>
      <c r="J188" s="200" t="s">
        <v>1233</v>
      </c>
      <c r="K188" s="1" t="s">
        <v>1651</v>
      </c>
      <c r="L188" s="242" t="s">
        <v>1414</v>
      </c>
      <c r="M188" s="254" t="s">
        <v>1584</v>
      </c>
      <c r="N188" s="184"/>
      <c r="O188" s="255" t="s">
        <v>1825</v>
      </c>
      <c r="P188" s="200"/>
      <c r="Q188" s="124"/>
    </row>
    <row r="189" spans="1:17" ht="15" customHeight="1">
      <c r="A189" s="41"/>
      <c r="C189" s="67">
        <v>251</v>
      </c>
      <c r="D189" s="192" t="s">
        <v>1308</v>
      </c>
      <c r="E189" s="227" t="s">
        <v>1309</v>
      </c>
      <c r="F189" s="235" t="s">
        <v>1223</v>
      </c>
      <c r="G189" s="186"/>
      <c r="H189" s="200"/>
      <c r="I189" s="250" t="s">
        <v>1518</v>
      </c>
      <c r="J189" s="200" t="s">
        <v>1234</v>
      </c>
      <c r="K189" s="1" t="s">
        <v>1652</v>
      </c>
      <c r="L189" s="242" t="s">
        <v>1415</v>
      </c>
      <c r="M189" s="254" t="s">
        <v>1722</v>
      </c>
      <c r="N189" s="184"/>
      <c r="O189" s="255" t="s">
        <v>1826</v>
      </c>
      <c r="P189" s="200"/>
      <c r="Q189" s="124"/>
    </row>
    <row r="190" spans="1:17" ht="15" customHeight="1">
      <c r="A190" s="41"/>
      <c r="B190" s="64"/>
      <c r="C190" s="67">
        <v>252</v>
      </c>
      <c r="D190" s="192" t="s">
        <v>1195</v>
      </c>
      <c r="E190" s="227" t="s">
        <v>1285</v>
      </c>
      <c r="F190" s="241" t="s">
        <v>1446</v>
      </c>
      <c r="G190" s="186"/>
      <c r="H190" s="200"/>
      <c r="I190" s="250" t="s">
        <v>1519</v>
      </c>
      <c r="J190" s="200" t="s">
        <v>1794</v>
      </c>
      <c r="K190" s="1" t="s">
        <v>1653</v>
      </c>
      <c r="L190" s="242" t="s">
        <v>1416</v>
      </c>
      <c r="M190" s="254" t="s">
        <v>1585</v>
      </c>
      <c r="N190" s="184"/>
      <c r="O190" s="255" t="s">
        <v>1827</v>
      </c>
      <c r="P190" s="200"/>
      <c r="Q190" s="124"/>
    </row>
    <row r="191" spans="1:17" ht="15" customHeight="1">
      <c r="A191" s="41"/>
      <c r="B191" s="73"/>
      <c r="C191" s="67">
        <v>253</v>
      </c>
      <c r="D191" s="192" t="s">
        <v>1214</v>
      </c>
      <c r="E191" s="227" t="s">
        <v>1215</v>
      </c>
      <c r="F191" s="236" t="s">
        <v>1447</v>
      </c>
      <c r="G191" s="186"/>
      <c r="H191" s="200"/>
      <c r="I191" s="250" t="s">
        <v>1520</v>
      </c>
      <c r="J191" s="200" t="s">
        <v>1458</v>
      </c>
      <c r="K191" s="1" t="s">
        <v>1654</v>
      </c>
      <c r="L191" s="242" t="s">
        <v>1385</v>
      </c>
      <c r="M191" s="254" t="s">
        <v>1723</v>
      </c>
      <c r="N191" s="185"/>
      <c r="O191" s="255" t="s">
        <v>1828</v>
      </c>
      <c r="P191" s="200"/>
      <c r="Q191" s="124"/>
    </row>
    <row r="192" spans="1:17" s="86" customFormat="1" ht="15" customHeight="1">
      <c r="A192" s="84"/>
      <c r="B192" s="88"/>
      <c r="C192" s="67">
        <v>254</v>
      </c>
      <c r="D192" s="192" t="s">
        <v>1255</v>
      </c>
      <c r="E192" s="227" t="s">
        <v>1286</v>
      </c>
      <c r="F192" s="235" t="s">
        <v>1448</v>
      </c>
      <c r="G192" s="186"/>
      <c r="H192" s="200"/>
      <c r="I192" s="250" t="s">
        <v>1521</v>
      </c>
      <c r="J192" s="200" t="s">
        <v>1766</v>
      </c>
      <c r="K192" s="1" t="s">
        <v>1698</v>
      </c>
      <c r="L192" s="242" t="s">
        <v>1386</v>
      </c>
      <c r="M192" s="254" t="s">
        <v>1586</v>
      </c>
      <c r="N192" s="184"/>
      <c r="O192" s="255" t="s">
        <v>1829</v>
      </c>
      <c r="P192" s="200"/>
      <c r="Q192" s="124"/>
    </row>
    <row r="193" spans="1:17" ht="15" customHeight="1">
      <c r="A193" s="41"/>
      <c r="B193" s="64"/>
      <c r="C193" s="67">
        <v>255</v>
      </c>
      <c r="D193" s="192" t="s">
        <v>1196</v>
      </c>
      <c r="E193" s="227" t="s">
        <v>1197</v>
      </c>
      <c r="F193" s="235" t="s">
        <v>1317</v>
      </c>
      <c r="G193" s="186"/>
      <c r="H193" s="200"/>
      <c r="I193" s="250" t="s">
        <v>1522</v>
      </c>
      <c r="J193" s="200" t="s">
        <v>1246</v>
      </c>
      <c r="K193" s="1" t="s">
        <v>1655</v>
      </c>
      <c r="L193" s="242" t="s">
        <v>1417</v>
      </c>
      <c r="M193" s="254" t="s">
        <v>1587</v>
      </c>
      <c r="N193" s="184"/>
      <c r="O193" s="41" t="s">
        <v>1830</v>
      </c>
      <c r="P193" s="200"/>
      <c r="Q193" s="124"/>
    </row>
    <row r="194" spans="1:17" ht="15" customHeight="1">
      <c r="A194" s="41"/>
      <c r="B194" s="64"/>
      <c r="C194" s="67">
        <v>256</v>
      </c>
      <c r="D194" s="192" t="s">
        <v>1198</v>
      </c>
      <c r="E194" s="227" t="s">
        <v>1199</v>
      </c>
      <c r="F194" s="235" t="s">
        <v>1339</v>
      </c>
      <c r="G194" s="186"/>
      <c r="H194" s="200"/>
      <c r="I194" s="250" t="s">
        <v>1523</v>
      </c>
      <c r="J194" s="200" t="s">
        <v>1235</v>
      </c>
      <c r="K194" s="1" t="s">
        <v>1656</v>
      </c>
      <c r="L194" s="242" t="s">
        <v>1387</v>
      </c>
      <c r="M194" s="254" t="s">
        <v>1588</v>
      </c>
      <c r="N194" s="185"/>
      <c r="O194" s="255" t="s">
        <v>1746</v>
      </c>
      <c r="P194" s="200"/>
      <c r="Q194" s="124"/>
    </row>
    <row r="195" spans="1:17" s="86" customFormat="1" ht="15" customHeight="1">
      <c r="A195" s="84"/>
      <c r="B195" s="88"/>
      <c r="C195" s="67">
        <v>257</v>
      </c>
      <c r="D195" s="192" t="s">
        <v>1262</v>
      </c>
      <c r="E195" s="227" t="s">
        <v>1287</v>
      </c>
      <c r="F195" s="235" t="s">
        <v>1318</v>
      </c>
      <c r="G195" s="186"/>
      <c r="H195" s="200"/>
      <c r="I195" s="250" t="s">
        <v>1524</v>
      </c>
      <c r="J195" s="200" t="s">
        <v>1454</v>
      </c>
      <c r="K195" s="1" t="s">
        <v>1657</v>
      </c>
      <c r="L195" s="242" t="s">
        <v>1388</v>
      </c>
      <c r="M195" s="254" t="s">
        <v>1724</v>
      </c>
      <c r="N195" s="184"/>
      <c r="O195" s="255" t="s">
        <v>1831</v>
      </c>
      <c r="P195" s="200"/>
      <c r="Q195" s="124"/>
    </row>
    <row r="196" spans="1:17" ht="15" customHeight="1">
      <c r="A196" s="41"/>
      <c r="B196" s="64"/>
      <c r="C196" s="67">
        <v>258</v>
      </c>
      <c r="D196" s="138" t="s">
        <v>1254</v>
      </c>
      <c r="E196" s="227" t="s">
        <v>1288</v>
      </c>
      <c r="F196" s="235" t="s">
        <v>1449</v>
      </c>
      <c r="G196" s="186"/>
      <c r="H196" s="200"/>
      <c r="I196" s="250" t="s">
        <v>1525</v>
      </c>
      <c r="J196" s="200" t="s">
        <v>1236</v>
      </c>
      <c r="K196" s="1" t="s">
        <v>1658</v>
      </c>
      <c r="L196" s="242" t="s">
        <v>1389</v>
      </c>
      <c r="M196" s="254" t="s">
        <v>1725</v>
      </c>
      <c r="N196" s="184"/>
      <c r="O196" s="255" t="s">
        <v>1832</v>
      </c>
      <c r="P196" s="200"/>
      <c r="Q196" s="124"/>
    </row>
    <row r="197" spans="1:17" ht="15" customHeight="1">
      <c r="A197" s="41"/>
      <c r="B197" s="64"/>
      <c r="C197" s="67">
        <v>259</v>
      </c>
      <c r="D197" s="138" t="s">
        <v>1253</v>
      </c>
      <c r="E197" s="227" t="s">
        <v>1289</v>
      </c>
      <c r="F197" s="235" t="s">
        <v>1340</v>
      </c>
      <c r="G197" s="186"/>
      <c r="H197" s="200"/>
      <c r="I197" s="250" t="s">
        <v>1526</v>
      </c>
      <c r="J197" s="200" t="s">
        <v>1455</v>
      </c>
      <c r="K197" s="1" t="s">
        <v>1659</v>
      </c>
      <c r="L197" s="242" t="s">
        <v>1390</v>
      </c>
      <c r="M197" s="254" t="s">
        <v>1589</v>
      </c>
      <c r="N197" s="184"/>
      <c r="O197" s="256" t="s">
        <v>1833</v>
      </c>
      <c r="P197" s="200"/>
      <c r="Q197" s="124"/>
    </row>
    <row r="198" spans="1:17" ht="15" customHeight="1">
      <c r="A198" s="41"/>
      <c r="B198" s="64"/>
      <c r="C198" s="67">
        <v>260</v>
      </c>
      <c r="D198" s="192" t="s">
        <v>1264</v>
      </c>
      <c r="E198" s="227" t="s">
        <v>1290</v>
      </c>
      <c r="F198" s="235" t="s">
        <v>1319</v>
      </c>
      <c r="G198" s="186"/>
      <c r="H198" s="200"/>
      <c r="I198" s="250" t="s">
        <v>1527</v>
      </c>
      <c r="J198" s="200" t="s">
        <v>1456</v>
      </c>
      <c r="K198" s="1" t="s">
        <v>1660</v>
      </c>
      <c r="L198" s="242" t="s">
        <v>1391</v>
      </c>
      <c r="M198" s="254" t="s">
        <v>1590</v>
      </c>
      <c r="N198" s="184"/>
      <c r="O198" s="255" t="s">
        <v>1834</v>
      </c>
      <c r="P198" s="200"/>
      <c r="Q198" s="124"/>
    </row>
    <row r="199" spans="1:17" ht="15" customHeight="1">
      <c r="A199" s="41"/>
      <c r="B199" s="64"/>
      <c r="C199" s="67">
        <v>261</v>
      </c>
      <c r="D199" s="159" t="s">
        <v>1263</v>
      </c>
      <c r="E199" s="227" t="s">
        <v>1291</v>
      </c>
      <c r="F199" s="235" t="s">
        <v>1341</v>
      </c>
      <c r="G199" s="186"/>
      <c r="H199" s="200"/>
      <c r="I199" s="250" t="s">
        <v>1528</v>
      </c>
      <c r="J199" s="200" t="s">
        <v>1457</v>
      </c>
      <c r="K199" s="1" t="s">
        <v>1661</v>
      </c>
      <c r="L199" s="242" t="s">
        <v>1418</v>
      </c>
      <c r="M199" s="254" t="s">
        <v>1591</v>
      </c>
      <c r="N199" s="184"/>
      <c r="O199" s="255" t="s">
        <v>1835</v>
      </c>
      <c r="P199" s="200"/>
      <c r="Q199" s="124"/>
    </row>
    <row r="200" spans="1:17" ht="15" customHeight="1">
      <c r="A200" s="41"/>
      <c r="B200" s="64"/>
      <c r="C200" s="67">
        <v>262</v>
      </c>
      <c r="D200" s="192" t="s">
        <v>1265</v>
      </c>
      <c r="E200" s="227" t="s">
        <v>1292</v>
      </c>
      <c r="F200" s="235" t="s">
        <v>1342</v>
      </c>
      <c r="G200" s="186"/>
      <c r="H200" s="200"/>
      <c r="I200" s="250" t="s">
        <v>1529</v>
      </c>
      <c r="J200" s="200" t="s">
        <v>1795</v>
      </c>
      <c r="K200" s="1" t="s">
        <v>1662</v>
      </c>
      <c r="L200" s="242" t="s">
        <v>1392</v>
      </c>
      <c r="M200" s="254" t="s">
        <v>1726</v>
      </c>
      <c r="N200" s="184"/>
      <c r="O200" s="255" t="s">
        <v>1836</v>
      </c>
      <c r="P200" s="200"/>
      <c r="Q200" s="124"/>
    </row>
    <row r="201" spans="1:17" ht="15" customHeight="1">
      <c r="A201" s="41"/>
      <c r="B201" s="64"/>
      <c r="C201" s="67">
        <v>263</v>
      </c>
      <c r="D201" s="192" t="s">
        <v>1182</v>
      </c>
      <c r="E201" s="227" t="s">
        <v>1183</v>
      </c>
      <c r="F201" s="235" t="s">
        <v>1343</v>
      </c>
      <c r="G201" s="186"/>
      <c r="H201" s="200"/>
      <c r="I201" s="250" t="s">
        <v>1238</v>
      </c>
      <c r="J201" s="245" t="s">
        <v>1247</v>
      </c>
      <c r="K201" s="1" t="s">
        <v>1663</v>
      </c>
      <c r="L201" s="242" t="s">
        <v>1419</v>
      </c>
      <c r="M201" s="254" t="s">
        <v>1592</v>
      </c>
      <c r="N201" s="184"/>
      <c r="O201" s="255" t="s">
        <v>1837</v>
      </c>
      <c r="P201" s="200"/>
      <c r="Q201" s="124"/>
    </row>
    <row r="202" spans="1:17" ht="15" customHeight="1">
      <c r="A202" s="41"/>
      <c r="B202" s="64"/>
      <c r="D202" s="212"/>
      <c r="E202" s="213"/>
      <c r="F202" s="214"/>
      <c r="G202" s="215"/>
      <c r="H202" s="216"/>
      <c r="I202" s="217"/>
      <c r="J202" s="15"/>
      <c r="K202" s="41"/>
      <c r="L202" s="217"/>
      <c r="M202" s="211"/>
      <c r="N202" s="217" t="s">
        <v>1119</v>
      </c>
      <c r="O202" s="216"/>
      <c r="P202" s="211"/>
      <c r="Q202" s="124"/>
    </row>
    <row r="203" spans="1:17" s="211" customFormat="1" ht="15" customHeight="1">
      <c r="A203" s="210"/>
      <c r="C203" s="211">
        <v>264</v>
      </c>
      <c r="D203" s="67"/>
      <c r="E203" s="33"/>
      <c r="F203" s="41"/>
      <c r="G203" s="41"/>
      <c r="H203" s="67"/>
      <c r="I203" s="80"/>
      <c r="J203" s="114"/>
      <c r="K203" s="33"/>
      <c r="L203" s="79"/>
      <c r="M203" s="67"/>
      <c r="N203" s="67"/>
      <c r="O203" s="67"/>
      <c r="P203" s="67"/>
      <c r="Q203" s="218"/>
    </row>
    <row r="204" spans="1:17" ht="15" customHeight="1">
      <c r="A204" s="41"/>
      <c r="C204" s="67">
        <v>265</v>
      </c>
      <c r="E204" s="33"/>
      <c r="F204" s="37"/>
      <c r="G204" s="41"/>
      <c r="I204" s="80"/>
      <c r="J204" s="114"/>
      <c r="K204" s="33"/>
      <c r="L204" s="79"/>
      <c r="Q204" s="124"/>
    </row>
    <row r="205" spans="1:17" ht="15" customHeight="1">
      <c r="A205" s="41"/>
      <c r="C205" s="67">
        <v>266</v>
      </c>
      <c r="E205" s="33"/>
      <c r="F205" s="37"/>
      <c r="G205" s="41"/>
      <c r="I205" s="80"/>
      <c r="J205" s="114"/>
      <c r="K205" s="33"/>
      <c r="L205" s="79"/>
      <c r="Q205" s="124"/>
    </row>
    <row r="206" spans="1:17" ht="15" customHeight="1">
      <c r="A206" s="41"/>
      <c r="C206" s="67">
        <v>267</v>
      </c>
      <c r="E206" s="33"/>
      <c r="F206" s="37"/>
      <c r="G206" s="41"/>
      <c r="I206" s="80"/>
      <c r="K206" s="33"/>
      <c r="L206" s="79"/>
      <c r="Q206" s="124"/>
    </row>
    <row r="207" spans="1:17" ht="15" customHeight="1">
      <c r="A207" s="41"/>
      <c r="C207" s="67">
        <v>268</v>
      </c>
      <c r="E207" s="33"/>
      <c r="F207" s="37"/>
      <c r="G207" s="41"/>
      <c r="I207" s="80"/>
      <c r="K207" s="33"/>
      <c r="L207" s="79"/>
      <c r="Q207" s="124"/>
    </row>
    <row r="208" spans="1:17" ht="15" customHeight="1">
      <c r="A208" s="41"/>
      <c r="C208" s="67">
        <v>269</v>
      </c>
      <c r="D208" s="6"/>
      <c r="E208" s="33"/>
      <c r="F208" s="37"/>
      <c r="G208" s="41"/>
      <c r="I208" s="80"/>
      <c r="K208" s="33"/>
      <c r="L208" s="79"/>
      <c r="Q208" s="124"/>
    </row>
    <row r="209" spans="1:17" ht="15" customHeight="1">
      <c r="A209" s="41"/>
      <c r="C209" s="67">
        <v>270</v>
      </c>
      <c r="D209" s="6"/>
      <c r="E209" s="33"/>
      <c r="F209" s="37"/>
      <c r="G209" s="41"/>
      <c r="I209" s="80"/>
      <c r="K209" s="33"/>
      <c r="L209" s="79"/>
      <c r="Q209" s="124"/>
    </row>
    <row r="210" spans="1:17" ht="15" customHeight="1">
      <c r="A210" s="41"/>
      <c r="C210" s="67">
        <v>271</v>
      </c>
      <c r="E210" s="33"/>
      <c r="F210" s="37"/>
      <c r="G210" s="41"/>
      <c r="I210" s="80"/>
      <c r="K210" s="41"/>
      <c r="L210" s="79"/>
      <c r="Q210" s="124"/>
    </row>
    <row r="211" spans="1:17" ht="15" customHeight="1">
      <c r="A211" s="41"/>
      <c r="C211" s="67">
        <v>272</v>
      </c>
      <c r="D211" s="6"/>
      <c r="E211" s="33"/>
      <c r="G211" s="79"/>
      <c r="K211" s="41"/>
      <c r="L211" s="79"/>
      <c r="Q211" s="124"/>
    </row>
    <row r="212" spans="1:17" ht="15" customHeight="1">
      <c r="A212" s="41"/>
      <c r="C212" s="67">
        <v>273</v>
      </c>
      <c r="D212" s="6"/>
      <c r="E212" s="33"/>
      <c r="G212" s="79"/>
      <c r="K212" s="41"/>
      <c r="L212" s="79"/>
      <c r="Q212" s="124"/>
    </row>
    <row r="213" spans="1:17" ht="15" customHeight="1">
      <c r="A213" s="41"/>
      <c r="C213" s="67">
        <v>274</v>
      </c>
      <c r="E213" s="33"/>
      <c r="G213" s="79"/>
      <c r="K213" s="41"/>
      <c r="L213" s="79"/>
      <c r="Q213" s="124"/>
    </row>
    <row r="214" spans="1:17" ht="15" customHeight="1">
      <c r="A214" s="41"/>
      <c r="C214" s="67">
        <v>275</v>
      </c>
      <c r="D214" s="6"/>
      <c r="E214" s="33"/>
      <c r="G214" s="79"/>
      <c r="K214" s="41"/>
      <c r="L214" s="79"/>
      <c r="Q214" s="124"/>
    </row>
    <row r="215" spans="1:17" ht="15" customHeight="1">
      <c r="A215" s="41"/>
      <c r="C215" s="67">
        <v>276</v>
      </c>
      <c r="E215" s="33"/>
      <c r="G215" s="79"/>
      <c r="K215" s="41"/>
      <c r="L215" s="79"/>
      <c r="Q215" s="124"/>
    </row>
    <row r="216" spans="1:17" ht="15" customHeight="1">
      <c r="A216" s="41"/>
      <c r="C216" s="67">
        <v>277</v>
      </c>
      <c r="D216" s="6"/>
      <c r="E216" s="33"/>
      <c r="G216" s="79"/>
      <c r="K216" s="41"/>
      <c r="L216" s="79"/>
      <c r="Q216" s="124"/>
    </row>
    <row r="217" spans="1:17" ht="15" customHeight="1">
      <c r="A217" s="41"/>
      <c r="C217" s="67">
        <v>278</v>
      </c>
      <c r="E217" s="33"/>
      <c r="G217" s="79"/>
      <c r="K217" s="41"/>
      <c r="L217" s="79"/>
      <c r="Q217" s="124"/>
    </row>
    <row r="218" spans="1:17" ht="15" customHeight="1">
      <c r="A218" s="41"/>
      <c r="C218" s="67">
        <v>279</v>
      </c>
      <c r="D218" s="6"/>
      <c r="E218" s="33"/>
      <c r="G218" s="79"/>
      <c r="K218" s="41"/>
      <c r="L218" s="79"/>
      <c r="Q218" s="124"/>
    </row>
    <row r="219" spans="1:17" ht="15" customHeight="1">
      <c r="A219" s="41"/>
      <c r="C219" s="67">
        <v>280</v>
      </c>
      <c r="D219" s="6"/>
      <c r="E219" s="33"/>
      <c r="G219" s="79"/>
      <c r="K219" s="41"/>
      <c r="L219" s="79"/>
      <c r="Q219" s="124"/>
    </row>
    <row r="220" spans="1:17" ht="15" customHeight="1">
      <c r="A220" s="41"/>
      <c r="C220" s="67">
        <v>281</v>
      </c>
      <c r="E220" s="33"/>
      <c r="G220" s="79"/>
      <c r="K220" s="41"/>
      <c r="L220" s="79"/>
      <c r="Q220" s="124"/>
    </row>
    <row r="221" spans="1:17" ht="15" customHeight="1">
      <c r="A221" s="41"/>
      <c r="C221" s="67">
        <v>282</v>
      </c>
      <c r="D221" s="6"/>
      <c r="E221" s="33"/>
      <c r="G221" s="79"/>
      <c r="K221" s="41"/>
      <c r="L221" s="79"/>
      <c r="Q221" s="124"/>
    </row>
    <row r="222" spans="1:17" ht="15" customHeight="1">
      <c r="A222" s="41"/>
      <c r="C222" s="67">
        <v>283</v>
      </c>
      <c r="D222" s="6"/>
      <c r="E222" s="33"/>
      <c r="G222" s="79"/>
      <c r="K222" s="41"/>
      <c r="L222" s="79"/>
      <c r="Q222" s="124"/>
    </row>
    <row r="223" spans="1:17" ht="15" customHeight="1">
      <c r="A223" s="41"/>
      <c r="C223" s="67">
        <v>284</v>
      </c>
      <c r="E223" s="33"/>
      <c r="G223" s="79"/>
      <c r="K223" s="41"/>
      <c r="L223" s="79"/>
      <c r="Q223" s="124"/>
    </row>
    <row r="224" spans="1:17" ht="15" customHeight="1">
      <c r="A224" s="41"/>
      <c r="C224" s="67">
        <v>285</v>
      </c>
      <c r="D224" s="6"/>
      <c r="E224" s="33"/>
      <c r="G224" s="79"/>
      <c r="K224" s="41"/>
      <c r="L224" s="79"/>
      <c r="Q224" s="124"/>
    </row>
    <row r="225" spans="1:17" ht="15" customHeight="1">
      <c r="A225" s="41"/>
      <c r="C225" s="67">
        <v>286</v>
      </c>
      <c r="E225" s="33"/>
      <c r="G225" s="79"/>
      <c r="K225" s="41"/>
      <c r="L225" s="79"/>
      <c r="Q225" s="124"/>
    </row>
    <row r="226" spans="1:17" ht="15" customHeight="1">
      <c r="A226" s="41"/>
      <c r="C226" s="67">
        <v>287</v>
      </c>
      <c r="D226" s="41"/>
      <c r="E226" s="33"/>
      <c r="G226" s="79"/>
      <c r="K226" s="41"/>
      <c r="L226" s="79"/>
      <c r="Q226" s="124"/>
    </row>
    <row r="227" spans="1:17" ht="15" customHeight="1">
      <c r="A227" s="41"/>
      <c r="C227" s="67">
        <v>288</v>
      </c>
      <c r="D227" s="41"/>
      <c r="E227" s="33"/>
      <c r="G227" s="79"/>
      <c r="K227" s="41"/>
      <c r="L227" s="79"/>
      <c r="Q227" s="124"/>
    </row>
    <row r="228" spans="1:17" ht="15" customHeight="1">
      <c r="A228" s="41"/>
      <c r="C228" s="67">
        <v>289</v>
      </c>
      <c r="D228" s="41" t="s">
        <v>657</v>
      </c>
      <c r="E228" s="33"/>
      <c r="G228" s="79"/>
      <c r="K228" s="41"/>
      <c r="L228" s="79"/>
      <c r="Q228" s="124"/>
    </row>
    <row r="229" spans="1:17" ht="15" customHeight="1">
      <c r="A229" s="41"/>
      <c r="D229" s="41"/>
      <c r="E229" s="33"/>
      <c r="G229" s="79"/>
      <c r="K229" s="41"/>
      <c r="L229" s="79"/>
      <c r="Q229" s="124"/>
    </row>
    <row r="230" spans="1:17" ht="15" customHeight="1">
      <c r="A230" s="41"/>
      <c r="C230" s="67">
        <v>301</v>
      </c>
      <c r="D230" s="41" t="s">
        <v>53</v>
      </c>
      <c r="E230" s="33"/>
      <c r="F230" s="67" t="s">
        <v>53</v>
      </c>
      <c r="G230" s="79" t="s">
        <v>161</v>
      </c>
      <c r="H230" s="67" t="s">
        <v>144</v>
      </c>
      <c r="I230" s="41" t="s">
        <v>53</v>
      </c>
      <c r="J230" s="67" t="s">
        <v>53</v>
      </c>
      <c r="K230" s="41" t="s">
        <v>161</v>
      </c>
      <c r="L230" s="79" t="s">
        <v>283</v>
      </c>
      <c r="M230" s="67" t="s">
        <v>333</v>
      </c>
      <c r="N230" s="41" t="s">
        <v>53</v>
      </c>
      <c r="O230" s="67" t="s">
        <v>144</v>
      </c>
      <c r="Q230" s="124"/>
    </row>
    <row r="231" spans="1:17" ht="15" customHeight="1">
      <c r="A231" s="41"/>
      <c r="C231" s="67">
        <v>302</v>
      </c>
      <c r="D231" s="41" t="s">
        <v>82</v>
      </c>
      <c r="F231" s="67" t="s">
        <v>257</v>
      </c>
      <c r="G231" s="79" t="s">
        <v>162</v>
      </c>
      <c r="H231" s="67" t="s">
        <v>142</v>
      </c>
      <c r="I231" s="68" t="s">
        <v>257</v>
      </c>
      <c r="J231" s="67" t="s">
        <v>257</v>
      </c>
      <c r="K231" s="41" t="s">
        <v>162</v>
      </c>
      <c r="L231" s="79" t="s">
        <v>284</v>
      </c>
      <c r="M231" s="67" t="s">
        <v>334</v>
      </c>
      <c r="N231" s="67" t="s">
        <v>257</v>
      </c>
      <c r="O231" s="67" t="s">
        <v>142</v>
      </c>
      <c r="Q231" s="124"/>
    </row>
    <row r="232" spans="1:17" ht="15" customHeight="1">
      <c r="A232" s="34"/>
      <c r="C232" s="67">
        <v>303</v>
      </c>
      <c r="D232" s="41" t="s">
        <v>74</v>
      </c>
      <c r="F232" s="67" t="s">
        <v>58</v>
      </c>
      <c r="G232" s="79" t="s">
        <v>163</v>
      </c>
      <c r="H232" s="67" t="s">
        <v>212</v>
      </c>
      <c r="I232" s="41" t="s">
        <v>74</v>
      </c>
      <c r="J232" s="67" t="s">
        <v>74</v>
      </c>
      <c r="K232" s="41" t="s">
        <v>163</v>
      </c>
      <c r="L232" s="41" t="s">
        <v>1772</v>
      </c>
      <c r="M232" s="41" t="s">
        <v>74</v>
      </c>
      <c r="N232" s="41" t="s">
        <v>74</v>
      </c>
      <c r="O232" s="67" t="s">
        <v>1798</v>
      </c>
      <c r="Q232" s="124"/>
    </row>
    <row r="233" spans="1:17" ht="15" customHeight="1">
      <c r="A233" s="34"/>
      <c r="C233" s="67">
        <v>304</v>
      </c>
      <c r="D233" s="41" t="s">
        <v>63</v>
      </c>
      <c r="F233" s="67" t="s">
        <v>63</v>
      </c>
      <c r="G233" s="79" t="s">
        <v>165</v>
      </c>
      <c r="H233" s="67" t="s">
        <v>214</v>
      </c>
      <c r="I233" s="41" t="s">
        <v>63</v>
      </c>
      <c r="J233" s="67" t="s">
        <v>63</v>
      </c>
      <c r="K233" s="41" t="s">
        <v>165</v>
      </c>
      <c r="L233" s="79" t="s">
        <v>285</v>
      </c>
      <c r="M233" s="41" t="s">
        <v>63</v>
      </c>
      <c r="N233" s="41" t="s">
        <v>63</v>
      </c>
      <c r="O233" s="67" t="s">
        <v>214</v>
      </c>
      <c r="Q233" s="124"/>
    </row>
    <row r="234" spans="1:17" ht="15" customHeight="1">
      <c r="A234" s="41"/>
      <c r="C234" s="67">
        <v>305</v>
      </c>
      <c r="D234" s="41" t="s">
        <v>75</v>
      </c>
      <c r="E234" s="33"/>
      <c r="F234" s="67" t="s">
        <v>524</v>
      </c>
      <c r="G234" s="79" t="s">
        <v>164</v>
      </c>
      <c r="H234" s="67" t="s">
        <v>213</v>
      </c>
      <c r="I234" s="68" t="s">
        <v>258</v>
      </c>
      <c r="J234" s="67" t="s">
        <v>258</v>
      </c>
      <c r="K234" s="41" t="s">
        <v>308</v>
      </c>
      <c r="L234" s="41" t="s">
        <v>813</v>
      </c>
      <c r="M234" s="41" t="s">
        <v>75</v>
      </c>
      <c r="N234" s="41" t="s">
        <v>75</v>
      </c>
      <c r="O234" s="67" t="s">
        <v>213</v>
      </c>
      <c r="Q234" s="124"/>
    </row>
    <row r="235" spans="1:17" ht="15" customHeight="1">
      <c r="A235" s="41"/>
      <c r="C235" s="67">
        <v>306</v>
      </c>
      <c r="D235" s="41" t="s">
        <v>64</v>
      </c>
      <c r="E235" s="33"/>
      <c r="F235" s="67" t="s">
        <v>259</v>
      </c>
      <c r="G235" s="79" t="s">
        <v>64</v>
      </c>
      <c r="H235" s="67" t="s">
        <v>64</v>
      </c>
      <c r="I235" s="68" t="s">
        <v>309</v>
      </c>
      <c r="J235" s="67" t="s">
        <v>259</v>
      </c>
      <c r="K235" s="41" t="s">
        <v>309</v>
      </c>
      <c r="L235" s="41" t="s">
        <v>309</v>
      </c>
      <c r="M235" s="41" t="s">
        <v>64</v>
      </c>
      <c r="N235" s="41" t="s">
        <v>64</v>
      </c>
      <c r="O235" s="67" t="s">
        <v>64</v>
      </c>
      <c r="Q235" s="124"/>
    </row>
    <row r="236" spans="1:17" ht="15" customHeight="1">
      <c r="A236" s="41"/>
      <c r="C236" s="67">
        <v>307</v>
      </c>
      <c r="D236" s="41" t="s">
        <v>85</v>
      </c>
      <c r="E236" s="33"/>
      <c r="F236" s="67" t="s">
        <v>106</v>
      </c>
      <c r="G236" s="79" t="s">
        <v>166</v>
      </c>
      <c r="H236" s="67" t="s">
        <v>215</v>
      </c>
      <c r="I236" s="68" t="s">
        <v>555</v>
      </c>
      <c r="J236" s="67" t="s">
        <v>260</v>
      </c>
      <c r="K236" s="41" t="s">
        <v>166</v>
      </c>
      <c r="L236" s="79" t="s">
        <v>286</v>
      </c>
      <c r="M236" s="67" t="s">
        <v>335</v>
      </c>
      <c r="N236" s="67" t="s">
        <v>492</v>
      </c>
      <c r="O236" s="67" t="s">
        <v>215</v>
      </c>
      <c r="Q236" s="124"/>
    </row>
    <row r="237" spans="1:17" ht="15" customHeight="1">
      <c r="A237" s="41"/>
      <c r="C237" s="67">
        <v>308</v>
      </c>
      <c r="D237" s="41" t="s">
        <v>437</v>
      </c>
      <c r="E237" s="33"/>
      <c r="F237" s="67" t="s">
        <v>525</v>
      </c>
      <c r="G237" s="41" t="s">
        <v>437</v>
      </c>
      <c r="H237" s="41" t="s">
        <v>437</v>
      </c>
      <c r="I237" s="68" t="s">
        <v>494</v>
      </c>
      <c r="J237" s="67" t="s">
        <v>494</v>
      </c>
      <c r="K237" s="41" t="s">
        <v>494</v>
      </c>
      <c r="L237" s="41" t="s">
        <v>494</v>
      </c>
      <c r="M237" s="41" t="s">
        <v>437</v>
      </c>
      <c r="N237" s="67" t="s">
        <v>494</v>
      </c>
      <c r="O237" s="41" t="s">
        <v>1799</v>
      </c>
      <c r="Q237" s="124"/>
    </row>
    <row r="238" spans="1:17" ht="15" customHeight="1">
      <c r="A238" s="41"/>
      <c r="C238" s="67">
        <v>309</v>
      </c>
      <c r="D238" s="41" t="s">
        <v>86</v>
      </c>
      <c r="E238" s="33"/>
      <c r="F238" s="67" t="s">
        <v>261</v>
      </c>
      <c r="G238" s="79" t="s">
        <v>167</v>
      </c>
      <c r="H238" s="67" t="s">
        <v>216</v>
      </c>
      <c r="I238" s="68" t="s">
        <v>261</v>
      </c>
      <c r="J238" s="67" t="s">
        <v>261</v>
      </c>
      <c r="K238" s="41" t="s">
        <v>167</v>
      </c>
      <c r="L238" s="41" t="s">
        <v>167</v>
      </c>
      <c r="M238" s="41" t="s">
        <v>86</v>
      </c>
      <c r="N238" s="41" t="s">
        <v>86</v>
      </c>
      <c r="O238" s="67" t="s">
        <v>216</v>
      </c>
      <c r="Q238" s="124"/>
    </row>
    <row r="239" spans="1:17" ht="15" customHeight="1">
      <c r="A239" s="33"/>
      <c r="C239" s="67">
        <v>310</v>
      </c>
      <c r="D239" s="41" t="s">
        <v>56</v>
      </c>
      <c r="E239" s="33"/>
      <c r="F239" s="67" t="s">
        <v>262</v>
      </c>
      <c r="G239" s="79" t="s">
        <v>168</v>
      </c>
      <c r="H239" s="67" t="s">
        <v>217</v>
      </c>
      <c r="I239" s="68" t="s">
        <v>262</v>
      </c>
      <c r="J239" s="67" t="s">
        <v>262</v>
      </c>
      <c r="K239" s="41" t="s">
        <v>168</v>
      </c>
      <c r="L239" s="41" t="s">
        <v>168</v>
      </c>
      <c r="M239" s="41" t="s">
        <v>56</v>
      </c>
      <c r="N239" s="41" t="s">
        <v>56</v>
      </c>
      <c r="O239" s="67" t="s">
        <v>217</v>
      </c>
      <c r="Q239" s="124"/>
    </row>
    <row r="240" spans="1:17" ht="15" customHeight="1">
      <c r="A240" s="41"/>
      <c r="C240" s="67">
        <v>311</v>
      </c>
      <c r="D240" s="41" t="s">
        <v>55</v>
      </c>
      <c r="E240" s="33"/>
      <c r="F240" s="67" t="s">
        <v>107</v>
      </c>
      <c r="G240" s="79" t="s">
        <v>169</v>
      </c>
      <c r="H240" s="67" t="s">
        <v>218</v>
      </c>
      <c r="I240" s="68" t="s">
        <v>556</v>
      </c>
      <c r="J240" s="67" t="s">
        <v>263</v>
      </c>
      <c r="K240" s="41" t="s">
        <v>169</v>
      </c>
      <c r="L240" s="79" t="s">
        <v>296</v>
      </c>
      <c r="M240" s="67" t="s">
        <v>336</v>
      </c>
      <c r="N240" s="89" t="s">
        <v>495</v>
      </c>
      <c r="O240" s="67" t="s">
        <v>218</v>
      </c>
      <c r="Q240" s="124"/>
    </row>
    <row r="241" spans="1:17" ht="15" customHeight="1">
      <c r="A241" s="33"/>
      <c r="C241" s="67">
        <v>312</v>
      </c>
      <c r="D241" s="41" t="s">
        <v>70</v>
      </c>
      <c r="E241" s="33"/>
      <c r="F241" s="67" t="s">
        <v>108</v>
      </c>
      <c r="G241" s="79" t="s">
        <v>170</v>
      </c>
      <c r="H241" s="67" t="s">
        <v>219</v>
      </c>
      <c r="I241" s="68" t="s">
        <v>557</v>
      </c>
      <c r="J241" s="67" t="s">
        <v>264</v>
      </c>
      <c r="K241" s="41" t="s">
        <v>170</v>
      </c>
      <c r="L241" s="79" t="s">
        <v>297</v>
      </c>
      <c r="M241" s="67" t="s">
        <v>337</v>
      </c>
      <c r="N241" s="89" t="s">
        <v>496</v>
      </c>
      <c r="O241" s="67" t="s">
        <v>219</v>
      </c>
      <c r="Q241" s="124"/>
    </row>
    <row r="242" spans="1:17" ht="15" customHeight="1">
      <c r="A242" s="33"/>
      <c r="C242" s="67">
        <v>313</v>
      </c>
      <c r="D242" s="41" t="s">
        <v>438</v>
      </c>
      <c r="E242" s="33"/>
      <c r="F242" s="67" t="s">
        <v>526</v>
      </c>
      <c r="G242" s="41" t="s">
        <v>1689</v>
      </c>
      <c r="H242" s="41" t="s">
        <v>438</v>
      </c>
      <c r="I242" s="68" t="s">
        <v>558</v>
      </c>
      <c r="J242" s="67" t="s">
        <v>580</v>
      </c>
      <c r="K242" s="41" t="s">
        <v>1689</v>
      </c>
      <c r="L242" s="41" t="s">
        <v>815</v>
      </c>
      <c r="M242" s="41" t="s">
        <v>438</v>
      </c>
      <c r="N242" s="67" t="s">
        <v>497</v>
      </c>
      <c r="O242" s="41" t="s">
        <v>438</v>
      </c>
      <c r="Q242" s="124"/>
    </row>
    <row r="243" spans="1:17" ht="15" customHeight="1">
      <c r="A243" s="33"/>
      <c r="C243" s="67">
        <v>314</v>
      </c>
      <c r="D243" s="41" t="s">
        <v>439</v>
      </c>
      <c r="E243" s="33"/>
      <c r="F243" s="67" t="s">
        <v>527</v>
      </c>
      <c r="G243" s="41" t="s">
        <v>1690</v>
      </c>
      <c r="H243" s="41" t="s">
        <v>439</v>
      </c>
      <c r="I243" s="68" t="s">
        <v>559</v>
      </c>
      <c r="J243" s="67" t="s">
        <v>581</v>
      </c>
      <c r="K243" s="41" t="s">
        <v>1690</v>
      </c>
      <c r="L243" s="41" t="s">
        <v>816</v>
      </c>
      <c r="M243" s="41" t="s">
        <v>439</v>
      </c>
      <c r="N243" s="67" t="s">
        <v>498</v>
      </c>
      <c r="O243" s="41" t="s">
        <v>439</v>
      </c>
      <c r="Q243" s="124"/>
    </row>
    <row r="244" spans="1:17" ht="15" customHeight="1">
      <c r="A244" s="33"/>
      <c r="C244" s="67">
        <v>315</v>
      </c>
      <c r="D244" s="41" t="s">
        <v>440</v>
      </c>
      <c r="E244" s="33"/>
      <c r="F244" s="67" t="s">
        <v>440</v>
      </c>
      <c r="G244" s="41" t="s">
        <v>440</v>
      </c>
      <c r="H244" s="41" t="s">
        <v>440</v>
      </c>
      <c r="I244" s="41" t="s">
        <v>440</v>
      </c>
      <c r="J244" s="67" t="s">
        <v>440</v>
      </c>
      <c r="K244" s="41" t="s">
        <v>440</v>
      </c>
      <c r="L244" s="41" t="s">
        <v>1773</v>
      </c>
      <c r="M244" s="41" t="s">
        <v>499</v>
      </c>
      <c r="N244" s="67" t="s">
        <v>440</v>
      </c>
      <c r="O244" s="67" t="s">
        <v>499</v>
      </c>
      <c r="Q244" s="124"/>
    </row>
    <row r="245" spans="1:17" ht="15" customHeight="1">
      <c r="A245" s="33"/>
      <c r="C245" s="67">
        <v>316</v>
      </c>
      <c r="D245" s="41" t="s">
        <v>441</v>
      </c>
      <c r="E245" s="33"/>
      <c r="F245" s="67" t="s">
        <v>528</v>
      </c>
      <c r="G245" s="41" t="s">
        <v>441</v>
      </c>
      <c r="H245" s="41" t="s">
        <v>441</v>
      </c>
      <c r="I245" s="41" t="s">
        <v>441</v>
      </c>
      <c r="J245" s="67" t="s">
        <v>441</v>
      </c>
      <c r="K245" s="41" t="s">
        <v>441</v>
      </c>
      <c r="L245" s="41" t="s">
        <v>441</v>
      </c>
      <c r="M245" s="41" t="s">
        <v>1768</v>
      </c>
      <c r="N245" s="41" t="s">
        <v>441</v>
      </c>
      <c r="O245" s="41" t="s">
        <v>1800</v>
      </c>
      <c r="Q245" s="124"/>
    </row>
    <row r="246" spans="1:17" ht="15" customHeight="1">
      <c r="A246" s="33"/>
      <c r="C246" s="67">
        <v>317</v>
      </c>
      <c r="D246" s="41" t="s">
        <v>442</v>
      </c>
      <c r="E246" s="33"/>
      <c r="F246" s="67" t="s">
        <v>442</v>
      </c>
      <c r="G246" s="41" t="s">
        <v>442</v>
      </c>
      <c r="H246" s="41" t="s">
        <v>442</v>
      </c>
      <c r="I246" s="41" t="s">
        <v>442</v>
      </c>
      <c r="J246" s="67" t="s">
        <v>442</v>
      </c>
      <c r="K246" s="41" t="s">
        <v>442</v>
      </c>
      <c r="L246" s="41" t="s">
        <v>442</v>
      </c>
      <c r="M246" s="41" t="s">
        <v>442</v>
      </c>
      <c r="N246" s="41" t="s">
        <v>442</v>
      </c>
      <c r="O246" s="41" t="s">
        <v>442</v>
      </c>
      <c r="Q246" s="124"/>
    </row>
    <row r="247" spans="1:17" ht="15" customHeight="1">
      <c r="A247" s="41"/>
      <c r="C247" s="67">
        <v>318</v>
      </c>
      <c r="D247" s="41" t="s">
        <v>46</v>
      </c>
      <c r="E247" s="33"/>
      <c r="F247" s="67" t="s">
        <v>46</v>
      </c>
      <c r="G247" s="79" t="s">
        <v>171</v>
      </c>
      <c r="H247" s="67" t="s">
        <v>46</v>
      </c>
      <c r="I247" s="68" t="s">
        <v>171</v>
      </c>
      <c r="J247" s="67" t="s">
        <v>250</v>
      </c>
      <c r="K247" s="41" t="s">
        <v>310</v>
      </c>
      <c r="L247" s="41" t="s">
        <v>818</v>
      </c>
      <c r="M247" s="41" t="s">
        <v>46</v>
      </c>
      <c r="N247" s="41" t="s">
        <v>46</v>
      </c>
      <c r="O247" s="67" t="s">
        <v>46</v>
      </c>
      <c r="Q247" s="124"/>
    </row>
    <row r="248" spans="1:17" ht="15" customHeight="1">
      <c r="A248" s="41"/>
      <c r="C248" s="67">
        <v>319</v>
      </c>
      <c r="D248" s="41" t="s">
        <v>47</v>
      </c>
      <c r="E248" s="33"/>
      <c r="F248" s="67" t="s">
        <v>109</v>
      </c>
      <c r="G248" s="79" t="s">
        <v>172</v>
      </c>
      <c r="H248" s="67" t="s">
        <v>47</v>
      </c>
      <c r="I248" s="68" t="s">
        <v>560</v>
      </c>
      <c r="J248" s="67" t="s">
        <v>265</v>
      </c>
      <c r="K248" s="41" t="s">
        <v>172</v>
      </c>
      <c r="L248" s="79" t="s">
        <v>287</v>
      </c>
      <c r="M248" s="67" t="s">
        <v>338</v>
      </c>
      <c r="N248" s="67" t="s">
        <v>493</v>
      </c>
      <c r="O248" s="67" t="s">
        <v>47</v>
      </c>
      <c r="Q248" s="124"/>
    </row>
    <row r="249" spans="1:17" ht="15" customHeight="1">
      <c r="A249" s="41"/>
      <c r="C249" s="67">
        <v>320</v>
      </c>
      <c r="D249" s="41" t="s">
        <v>67</v>
      </c>
      <c r="E249" s="33"/>
      <c r="F249" s="67" t="s">
        <v>110</v>
      </c>
      <c r="G249" s="79" t="s">
        <v>173</v>
      </c>
      <c r="H249" s="67" t="s">
        <v>220</v>
      </c>
      <c r="I249" s="68" t="s">
        <v>561</v>
      </c>
      <c r="J249" s="67" t="s">
        <v>266</v>
      </c>
      <c r="K249" s="41" t="s">
        <v>1691</v>
      </c>
      <c r="L249" s="79" t="s">
        <v>288</v>
      </c>
      <c r="M249" s="67" t="s">
        <v>67</v>
      </c>
      <c r="N249" s="67" t="s">
        <v>500</v>
      </c>
      <c r="O249" s="67" t="s">
        <v>220</v>
      </c>
      <c r="Q249" s="124"/>
    </row>
    <row r="250" spans="1:17" ht="15" customHeight="1">
      <c r="A250" s="41"/>
      <c r="C250" s="67">
        <v>321</v>
      </c>
      <c r="D250" s="41" t="s">
        <v>80</v>
      </c>
      <c r="E250" s="33"/>
      <c r="F250" s="67" t="s">
        <v>111</v>
      </c>
      <c r="G250" s="79" t="s">
        <v>174</v>
      </c>
      <c r="H250" s="67" t="s">
        <v>221</v>
      </c>
      <c r="I250" s="68" t="s">
        <v>562</v>
      </c>
      <c r="J250" s="67" t="s">
        <v>267</v>
      </c>
      <c r="K250" s="41" t="s">
        <v>311</v>
      </c>
      <c r="L250" s="41" t="s">
        <v>1770</v>
      </c>
      <c r="M250" s="67" t="s">
        <v>339</v>
      </c>
      <c r="N250" s="67" t="s">
        <v>501</v>
      </c>
      <c r="O250" s="67" t="s">
        <v>221</v>
      </c>
      <c r="Q250" s="124"/>
    </row>
    <row r="251" spans="1:17" ht="15" customHeight="1">
      <c r="A251" s="41"/>
      <c r="C251" s="67">
        <v>322</v>
      </c>
      <c r="D251" s="41" t="s">
        <v>443</v>
      </c>
      <c r="E251" s="33"/>
      <c r="F251" s="67" t="s">
        <v>535</v>
      </c>
      <c r="G251" s="41" t="s">
        <v>443</v>
      </c>
      <c r="H251" s="41" t="s">
        <v>443</v>
      </c>
      <c r="I251" s="68" t="s">
        <v>564</v>
      </c>
      <c r="J251" s="67" t="s">
        <v>563</v>
      </c>
      <c r="K251" s="41" t="s">
        <v>1692</v>
      </c>
      <c r="L251" s="41" t="s">
        <v>1771</v>
      </c>
      <c r="M251" s="41" t="s">
        <v>1769</v>
      </c>
      <c r="N251" s="67" t="s">
        <v>502</v>
      </c>
      <c r="O251" s="41" t="s">
        <v>1817</v>
      </c>
      <c r="Q251" s="124"/>
    </row>
    <row r="252" spans="1:17" ht="15" customHeight="1">
      <c r="A252" s="33"/>
      <c r="C252" s="67">
        <v>323</v>
      </c>
      <c r="D252" s="41" t="s">
        <v>68</v>
      </c>
      <c r="E252" s="33"/>
      <c r="F252" s="67" t="s">
        <v>68</v>
      </c>
      <c r="G252" s="79" t="s">
        <v>68</v>
      </c>
      <c r="H252" s="67" t="s">
        <v>222</v>
      </c>
      <c r="I252" s="68" t="s">
        <v>251</v>
      </c>
      <c r="J252" s="67" t="s">
        <v>251</v>
      </c>
      <c r="K252" s="41" t="s">
        <v>68</v>
      </c>
      <c r="L252" s="41" t="s">
        <v>503</v>
      </c>
      <c r="M252" s="41" t="s">
        <v>68</v>
      </c>
      <c r="N252" s="67" t="s">
        <v>503</v>
      </c>
      <c r="O252" s="67" t="s">
        <v>1801</v>
      </c>
      <c r="Q252" s="124"/>
    </row>
    <row r="253" spans="1:17" ht="15" customHeight="1">
      <c r="A253" s="41"/>
      <c r="C253" s="67">
        <v>324</v>
      </c>
      <c r="D253" s="41" t="s">
        <v>76</v>
      </c>
      <c r="E253" s="33"/>
      <c r="F253" s="67" t="s">
        <v>76</v>
      </c>
      <c r="G253" s="79" t="s">
        <v>175</v>
      </c>
      <c r="H253" s="67" t="s">
        <v>223</v>
      </c>
      <c r="I253" s="90" t="s">
        <v>175</v>
      </c>
      <c r="J253" s="67" t="s">
        <v>76</v>
      </c>
      <c r="K253" s="41" t="s">
        <v>175</v>
      </c>
      <c r="L253" s="41" t="s">
        <v>175</v>
      </c>
      <c r="M253" s="41" t="s">
        <v>76</v>
      </c>
      <c r="N253" s="41" t="s">
        <v>76</v>
      </c>
      <c r="O253" s="67" t="s">
        <v>223</v>
      </c>
      <c r="Q253" s="124"/>
    </row>
    <row r="254" spans="1:17" ht="15" customHeight="1">
      <c r="A254" s="41"/>
      <c r="C254" s="67">
        <v>325</v>
      </c>
      <c r="D254" s="41" t="s">
        <v>444</v>
      </c>
      <c r="E254" s="33"/>
      <c r="F254" s="67" t="s">
        <v>529</v>
      </c>
      <c r="G254" s="41" t="s">
        <v>444</v>
      </c>
      <c r="H254" s="41" t="s">
        <v>444</v>
      </c>
      <c r="I254" s="68" t="s">
        <v>566</v>
      </c>
      <c r="J254" s="67" t="s">
        <v>565</v>
      </c>
      <c r="K254" s="41" t="s">
        <v>1693</v>
      </c>
      <c r="L254" s="41" t="s">
        <v>1774</v>
      </c>
      <c r="M254" s="41" t="s">
        <v>444</v>
      </c>
      <c r="N254" s="67" t="s">
        <v>504</v>
      </c>
      <c r="O254" s="41" t="s">
        <v>1802</v>
      </c>
      <c r="Q254" s="124"/>
    </row>
    <row r="255" spans="1:17" ht="15" customHeight="1">
      <c r="A255" s="41"/>
      <c r="C255" s="67">
        <v>326</v>
      </c>
      <c r="D255" s="41" t="s">
        <v>77</v>
      </c>
      <c r="E255" s="33"/>
      <c r="F255" s="67" t="s">
        <v>77</v>
      </c>
      <c r="G255" s="79" t="s">
        <v>77</v>
      </c>
      <c r="H255" s="67" t="s">
        <v>224</v>
      </c>
      <c r="I255" s="68" t="s">
        <v>268</v>
      </c>
      <c r="J255" s="67" t="s">
        <v>268</v>
      </c>
      <c r="K255" s="41" t="s">
        <v>77</v>
      </c>
      <c r="L255" s="41" t="s">
        <v>1775</v>
      </c>
      <c r="M255" s="41" t="s">
        <v>77</v>
      </c>
      <c r="N255" s="41" t="s">
        <v>77</v>
      </c>
      <c r="O255" s="67" t="s">
        <v>1803</v>
      </c>
      <c r="Q255" s="124"/>
    </row>
    <row r="256" spans="1:17" ht="15" customHeight="1">
      <c r="A256" s="41"/>
      <c r="C256" s="67">
        <v>327</v>
      </c>
      <c r="D256" s="41" t="s">
        <v>81</v>
      </c>
      <c r="E256" s="33"/>
      <c r="F256" s="67" t="s">
        <v>81</v>
      </c>
      <c r="G256" s="79" t="s">
        <v>81</v>
      </c>
      <c r="H256" s="67" t="s">
        <v>225</v>
      </c>
      <c r="I256" s="41" t="s">
        <v>81</v>
      </c>
      <c r="J256" s="67" t="s">
        <v>81</v>
      </c>
      <c r="K256" s="41" t="s">
        <v>81</v>
      </c>
      <c r="L256" s="41" t="s">
        <v>81</v>
      </c>
      <c r="M256" s="41" t="s">
        <v>81</v>
      </c>
      <c r="N256" s="41" t="s">
        <v>81</v>
      </c>
      <c r="O256" s="67" t="s">
        <v>225</v>
      </c>
      <c r="Q256" s="124"/>
    </row>
    <row r="257" spans="1:17" ht="15" customHeight="1">
      <c r="A257" s="41"/>
      <c r="C257" s="67">
        <v>328</v>
      </c>
      <c r="D257" s="41" t="s">
        <v>445</v>
      </c>
      <c r="E257" s="33"/>
      <c r="F257" s="67" t="s">
        <v>445</v>
      </c>
      <c r="G257" s="67" t="s">
        <v>445</v>
      </c>
      <c r="H257" s="67" t="s">
        <v>445</v>
      </c>
      <c r="I257" s="41" t="s">
        <v>445</v>
      </c>
      <c r="J257" s="67" t="s">
        <v>445</v>
      </c>
      <c r="K257" s="41" t="s">
        <v>445</v>
      </c>
      <c r="L257" s="41" t="s">
        <v>445</v>
      </c>
      <c r="M257" s="41" t="s">
        <v>445</v>
      </c>
      <c r="N257" s="41" t="s">
        <v>445</v>
      </c>
      <c r="O257" s="67" t="s">
        <v>1804</v>
      </c>
      <c r="Q257" s="124"/>
    </row>
    <row r="258" spans="1:17" ht="15" customHeight="1">
      <c r="A258" s="41"/>
      <c r="C258" s="67">
        <v>329</v>
      </c>
      <c r="D258" s="41" t="s">
        <v>446</v>
      </c>
      <c r="E258" s="33"/>
      <c r="F258" s="67" t="s">
        <v>446</v>
      </c>
      <c r="G258" s="67" t="s">
        <v>446</v>
      </c>
      <c r="H258" s="67" t="s">
        <v>446</v>
      </c>
      <c r="I258" s="68" t="s">
        <v>1122</v>
      </c>
      <c r="J258" s="67" t="s">
        <v>1123</v>
      </c>
      <c r="K258" s="41" t="s">
        <v>1694</v>
      </c>
      <c r="L258" s="41" t="s">
        <v>1694</v>
      </c>
      <c r="M258" s="41" t="s">
        <v>446</v>
      </c>
      <c r="N258" s="41" t="s">
        <v>446</v>
      </c>
      <c r="O258" s="67" t="s">
        <v>1805</v>
      </c>
      <c r="Q258" s="124"/>
    </row>
    <row r="259" spans="1:17" ht="15" customHeight="1">
      <c r="A259" s="41"/>
      <c r="C259" s="67">
        <v>330</v>
      </c>
      <c r="D259" s="41" t="s">
        <v>79</v>
      </c>
      <c r="E259" s="33"/>
      <c r="F259" s="67" t="s">
        <v>79</v>
      </c>
      <c r="G259" s="79" t="s">
        <v>79</v>
      </c>
      <c r="H259" s="67" t="s">
        <v>226</v>
      </c>
      <c r="I259" s="67" t="s">
        <v>79</v>
      </c>
      <c r="J259" s="67" t="s">
        <v>226</v>
      </c>
      <c r="K259" s="41" t="s">
        <v>79</v>
      </c>
      <c r="L259" s="79" t="s">
        <v>79</v>
      </c>
      <c r="M259" s="67" t="s">
        <v>340</v>
      </c>
      <c r="N259" s="41" t="s">
        <v>79</v>
      </c>
      <c r="O259" s="67" t="s">
        <v>226</v>
      </c>
      <c r="Q259" s="124"/>
    </row>
    <row r="260" spans="1:17" ht="15" customHeight="1">
      <c r="A260" s="41"/>
      <c r="C260" s="67">
        <v>331</v>
      </c>
      <c r="D260" s="41" t="s">
        <v>447</v>
      </c>
      <c r="E260" s="33"/>
      <c r="F260" s="67" t="s">
        <v>447</v>
      </c>
      <c r="G260" s="41" t="s">
        <v>447</v>
      </c>
      <c r="H260" s="41" t="s">
        <v>447</v>
      </c>
      <c r="I260" s="68" t="s">
        <v>567</v>
      </c>
      <c r="J260" s="67" t="s">
        <v>567</v>
      </c>
      <c r="K260" s="41" t="s">
        <v>447</v>
      </c>
      <c r="L260" s="41" t="s">
        <v>447</v>
      </c>
      <c r="M260" s="41" t="s">
        <v>447</v>
      </c>
      <c r="N260" s="41" t="s">
        <v>447</v>
      </c>
      <c r="O260" s="41" t="s">
        <v>1806</v>
      </c>
      <c r="Q260" s="124"/>
    </row>
    <row r="261" spans="1:17" ht="15" customHeight="1">
      <c r="A261" s="41"/>
      <c r="C261" s="67">
        <v>332</v>
      </c>
      <c r="D261" s="41" t="s">
        <v>448</v>
      </c>
      <c r="E261" s="33"/>
      <c r="F261" s="67" t="s">
        <v>530</v>
      </c>
      <c r="G261" s="41" t="s">
        <v>448</v>
      </c>
      <c r="H261" s="41" t="s">
        <v>448</v>
      </c>
      <c r="I261" s="68" t="s">
        <v>568</v>
      </c>
      <c r="J261" s="67" t="s">
        <v>530</v>
      </c>
      <c r="K261" s="41" t="s">
        <v>1695</v>
      </c>
      <c r="L261" s="41" t="s">
        <v>1695</v>
      </c>
      <c r="M261" s="41" t="s">
        <v>448</v>
      </c>
      <c r="N261" s="41" t="s">
        <v>448</v>
      </c>
      <c r="O261" s="41" t="s">
        <v>448</v>
      </c>
      <c r="Q261" s="124"/>
    </row>
    <row r="262" spans="1:17" ht="15" customHeight="1">
      <c r="A262" s="41"/>
      <c r="C262" s="67">
        <v>333</v>
      </c>
      <c r="D262" s="41" t="s">
        <v>449</v>
      </c>
      <c r="E262" s="33"/>
      <c r="F262" s="67" t="s">
        <v>531</v>
      </c>
      <c r="G262" s="41" t="s">
        <v>449</v>
      </c>
      <c r="H262" s="41" t="s">
        <v>449</v>
      </c>
      <c r="I262" s="68" t="s">
        <v>505</v>
      </c>
      <c r="J262" s="67" t="s">
        <v>505</v>
      </c>
      <c r="K262" s="41" t="s">
        <v>505</v>
      </c>
      <c r="L262" s="41" t="s">
        <v>505</v>
      </c>
      <c r="M262" s="41" t="s">
        <v>1785</v>
      </c>
      <c r="N262" s="67" t="s">
        <v>505</v>
      </c>
      <c r="O262" s="41" t="s">
        <v>1807</v>
      </c>
      <c r="Q262" s="124"/>
    </row>
    <row r="263" spans="1:17" ht="15" customHeight="1">
      <c r="A263" s="41"/>
      <c r="C263" s="67">
        <v>334</v>
      </c>
      <c r="D263" s="41" t="s">
        <v>450</v>
      </c>
      <c r="E263" s="33"/>
      <c r="F263" s="67" t="s">
        <v>450</v>
      </c>
      <c r="G263" s="41" t="s">
        <v>450</v>
      </c>
      <c r="H263" s="41" t="s">
        <v>450</v>
      </c>
      <c r="I263" s="41" t="s">
        <v>450</v>
      </c>
      <c r="J263" s="67" t="s">
        <v>450</v>
      </c>
      <c r="K263" s="41" t="s">
        <v>450</v>
      </c>
      <c r="L263" s="41" t="s">
        <v>450</v>
      </c>
      <c r="M263" s="41" t="s">
        <v>1786</v>
      </c>
      <c r="N263" s="41" t="s">
        <v>450</v>
      </c>
      <c r="O263" s="41" t="s">
        <v>1808</v>
      </c>
      <c r="Q263" s="124"/>
    </row>
    <row r="264" spans="1:17" ht="15" customHeight="1">
      <c r="A264" s="41"/>
      <c r="C264" s="67">
        <v>335</v>
      </c>
      <c r="D264" s="41" t="s">
        <v>451</v>
      </c>
      <c r="E264" s="33"/>
      <c r="F264" s="67" t="s">
        <v>532</v>
      </c>
      <c r="G264" s="41" t="s">
        <v>451</v>
      </c>
      <c r="H264" s="41" t="s">
        <v>451</v>
      </c>
      <c r="I264" s="41" t="s">
        <v>451</v>
      </c>
      <c r="J264" s="67" t="s">
        <v>451</v>
      </c>
      <c r="K264" s="41" t="s">
        <v>451</v>
      </c>
      <c r="L264" s="41" t="s">
        <v>451</v>
      </c>
      <c r="M264" s="41" t="s">
        <v>451</v>
      </c>
      <c r="N264" s="41" t="s">
        <v>451</v>
      </c>
      <c r="O264" s="41" t="s">
        <v>1809</v>
      </c>
      <c r="Q264" s="124"/>
    </row>
    <row r="265" spans="1:17" ht="15" customHeight="1">
      <c r="A265" s="41"/>
      <c r="C265" s="67">
        <v>336</v>
      </c>
      <c r="D265" s="41" t="s">
        <v>452</v>
      </c>
      <c r="E265" s="33"/>
      <c r="F265" s="67" t="s">
        <v>533</v>
      </c>
      <c r="G265" s="41" t="s">
        <v>452</v>
      </c>
      <c r="H265" s="41" t="s">
        <v>452</v>
      </c>
      <c r="I265" s="68" t="s">
        <v>533</v>
      </c>
      <c r="J265" s="67" t="s">
        <v>533</v>
      </c>
      <c r="K265" s="41" t="s">
        <v>502</v>
      </c>
      <c r="L265" s="41" t="s">
        <v>452</v>
      </c>
      <c r="M265" s="41" t="s">
        <v>506</v>
      </c>
      <c r="N265" s="67" t="s">
        <v>506</v>
      </c>
      <c r="O265" s="41" t="s">
        <v>1810</v>
      </c>
      <c r="Q265" s="124"/>
    </row>
    <row r="266" spans="1:17" ht="15" customHeight="1">
      <c r="A266" s="41"/>
      <c r="C266" s="67">
        <v>337</v>
      </c>
      <c r="D266" s="41" t="s">
        <v>453</v>
      </c>
      <c r="E266" s="33"/>
      <c r="F266" s="67" t="s">
        <v>453</v>
      </c>
      <c r="G266" s="41" t="s">
        <v>453</v>
      </c>
      <c r="H266" s="41" t="s">
        <v>453</v>
      </c>
      <c r="I266" s="41" t="s">
        <v>453</v>
      </c>
      <c r="J266" s="67" t="s">
        <v>453</v>
      </c>
      <c r="K266" s="41" t="s">
        <v>453</v>
      </c>
      <c r="L266" s="41" t="s">
        <v>453</v>
      </c>
      <c r="M266" s="41" t="s">
        <v>1787</v>
      </c>
      <c r="N266" s="41" t="s">
        <v>453</v>
      </c>
      <c r="O266" s="41" t="s">
        <v>1811</v>
      </c>
      <c r="Q266" s="124"/>
    </row>
    <row r="267" spans="1:17" ht="15" customHeight="1">
      <c r="A267" s="41"/>
      <c r="C267" s="67">
        <v>338</v>
      </c>
      <c r="D267" s="41" t="s">
        <v>454</v>
      </c>
      <c r="E267" s="33"/>
      <c r="F267" s="67" t="s">
        <v>534</v>
      </c>
      <c r="G267" s="41" t="s">
        <v>454</v>
      </c>
      <c r="H267" s="41" t="s">
        <v>454</v>
      </c>
      <c r="I267" s="68" t="s">
        <v>534</v>
      </c>
      <c r="J267" s="67" t="s">
        <v>507</v>
      </c>
      <c r="K267" s="41" t="s">
        <v>534</v>
      </c>
      <c r="L267" s="41" t="s">
        <v>534</v>
      </c>
      <c r="M267" s="41" t="s">
        <v>1788</v>
      </c>
      <c r="N267" s="67" t="s">
        <v>507</v>
      </c>
      <c r="O267" s="41" t="s">
        <v>1812</v>
      </c>
      <c r="Q267" s="124"/>
    </row>
    <row r="268" spans="1:17" ht="15" customHeight="1">
      <c r="A268" s="34"/>
      <c r="C268" s="67">
        <v>339</v>
      </c>
      <c r="D268" s="41" t="s">
        <v>59</v>
      </c>
      <c r="E268" s="33"/>
      <c r="F268" s="67" t="s">
        <v>112</v>
      </c>
      <c r="G268" s="79" t="s">
        <v>59</v>
      </c>
      <c r="H268" s="67" t="s">
        <v>59</v>
      </c>
      <c r="I268" s="67" t="s">
        <v>59</v>
      </c>
      <c r="J268" s="67" t="s">
        <v>59</v>
      </c>
      <c r="K268" s="41" t="s">
        <v>59</v>
      </c>
      <c r="L268" s="67" t="s">
        <v>59</v>
      </c>
      <c r="M268" s="67" t="s">
        <v>59</v>
      </c>
      <c r="N268" s="67" t="s">
        <v>59</v>
      </c>
      <c r="O268" s="67" t="s">
        <v>59</v>
      </c>
      <c r="Q268" s="124"/>
    </row>
    <row r="269" spans="1:17" ht="15" customHeight="1">
      <c r="A269" s="41"/>
      <c r="E269" s="33"/>
      <c r="G269" s="79"/>
      <c r="L269" s="79"/>
      <c r="Q269" s="124"/>
    </row>
    <row r="270" spans="1:17" ht="15" customHeight="1">
      <c r="A270" s="41"/>
      <c r="C270" s="67">
        <v>340</v>
      </c>
      <c r="D270" s="41" t="s">
        <v>48</v>
      </c>
      <c r="E270" s="33"/>
      <c r="F270" s="67" t="s">
        <v>48</v>
      </c>
      <c r="G270" s="79" t="s">
        <v>133</v>
      </c>
      <c r="H270" s="67" t="s">
        <v>133</v>
      </c>
      <c r="I270" s="68" t="s">
        <v>48</v>
      </c>
      <c r="J270" s="67" t="s">
        <v>269</v>
      </c>
      <c r="K270" s="41" t="s">
        <v>133</v>
      </c>
      <c r="L270" s="79" t="s">
        <v>48</v>
      </c>
      <c r="M270" s="79" t="s">
        <v>48</v>
      </c>
      <c r="N270" s="79" t="s">
        <v>48</v>
      </c>
      <c r="O270" s="67" t="s">
        <v>133</v>
      </c>
    </row>
    <row r="271" spans="1:17" ht="15" customHeight="1">
      <c r="A271" s="41"/>
      <c r="C271" s="67">
        <v>341</v>
      </c>
      <c r="D271" s="67" t="s">
        <v>11</v>
      </c>
      <c r="E271" s="33"/>
      <c r="F271" s="67" t="s">
        <v>11</v>
      </c>
      <c r="G271" s="79" t="s">
        <v>139</v>
      </c>
      <c r="H271" s="67" t="s">
        <v>227</v>
      </c>
      <c r="I271" s="68" t="s">
        <v>270</v>
      </c>
      <c r="J271" s="67" t="s">
        <v>270</v>
      </c>
      <c r="K271" s="67" t="s">
        <v>139</v>
      </c>
      <c r="L271" s="79" t="s">
        <v>11</v>
      </c>
      <c r="M271" s="79" t="s">
        <v>11</v>
      </c>
      <c r="N271" s="79" t="s">
        <v>11</v>
      </c>
      <c r="O271" s="67" t="s">
        <v>227</v>
      </c>
    </row>
    <row r="272" spans="1:17" ht="15" customHeight="1">
      <c r="C272" s="67">
        <v>342</v>
      </c>
      <c r="D272" s="41" t="s">
        <v>49</v>
      </c>
      <c r="F272" s="67" t="s">
        <v>113</v>
      </c>
      <c r="G272" s="79" t="s">
        <v>134</v>
      </c>
      <c r="H272" s="67" t="s">
        <v>143</v>
      </c>
      <c r="I272" s="67" t="s">
        <v>49</v>
      </c>
      <c r="J272" s="67" t="s">
        <v>49</v>
      </c>
      <c r="K272" s="41" t="s">
        <v>134</v>
      </c>
      <c r="L272" s="67" t="s">
        <v>49</v>
      </c>
      <c r="M272" s="67" t="s">
        <v>341</v>
      </c>
      <c r="N272" s="67" t="s">
        <v>49</v>
      </c>
      <c r="O272" s="67" t="s">
        <v>143</v>
      </c>
    </row>
    <row r="273" spans="1:15" ht="15" customHeight="1">
      <c r="A273" s="41"/>
      <c r="C273" s="67">
        <v>343</v>
      </c>
      <c r="D273" s="41" t="s">
        <v>50</v>
      </c>
      <c r="F273" s="67" t="s">
        <v>50</v>
      </c>
      <c r="G273" s="79" t="s">
        <v>176</v>
      </c>
      <c r="H273" s="67" t="s">
        <v>228</v>
      </c>
      <c r="I273" s="68" t="s">
        <v>569</v>
      </c>
      <c r="J273" s="67" t="s">
        <v>50</v>
      </c>
      <c r="K273" s="41" t="s">
        <v>176</v>
      </c>
      <c r="L273" s="79" t="s">
        <v>569</v>
      </c>
      <c r="M273" s="67" t="s">
        <v>342</v>
      </c>
      <c r="N273" s="79" t="s">
        <v>50</v>
      </c>
      <c r="O273" s="67" t="s">
        <v>228</v>
      </c>
    </row>
    <row r="274" spans="1:15" ht="15" customHeight="1">
      <c r="A274" s="41"/>
      <c r="C274" s="67">
        <v>344</v>
      </c>
      <c r="D274" s="41" t="s">
        <v>71</v>
      </c>
      <c r="F274" s="67" t="s">
        <v>553</v>
      </c>
      <c r="G274" s="79" t="s">
        <v>177</v>
      </c>
      <c r="H274" s="67" t="s">
        <v>136</v>
      </c>
      <c r="I274" s="68" t="s">
        <v>570</v>
      </c>
      <c r="J274" s="67" t="s">
        <v>271</v>
      </c>
      <c r="K274" s="41" t="s">
        <v>177</v>
      </c>
      <c r="L274" s="79" t="s">
        <v>282</v>
      </c>
      <c r="M274" s="67" t="s">
        <v>1789</v>
      </c>
      <c r="N274" s="67" t="s">
        <v>508</v>
      </c>
      <c r="O274" s="67" t="s">
        <v>136</v>
      </c>
    </row>
    <row r="275" spans="1:15" ht="15" customHeight="1">
      <c r="A275" s="41"/>
      <c r="C275" s="67">
        <v>345</v>
      </c>
      <c r="D275" s="41" t="s">
        <v>57</v>
      </c>
      <c r="F275" s="67" t="s">
        <v>659</v>
      </c>
      <c r="G275" s="79" t="s">
        <v>57</v>
      </c>
      <c r="H275" s="67" t="s">
        <v>229</v>
      </c>
      <c r="I275" s="67" t="s">
        <v>57</v>
      </c>
      <c r="J275" s="67" t="s">
        <v>57</v>
      </c>
      <c r="K275" s="41" t="s">
        <v>312</v>
      </c>
      <c r="L275" s="67" t="s">
        <v>57</v>
      </c>
      <c r="M275" s="67" t="s">
        <v>57</v>
      </c>
      <c r="N275" s="67" t="s">
        <v>57</v>
      </c>
      <c r="O275" s="67" t="s">
        <v>229</v>
      </c>
    </row>
    <row r="276" spans="1:15" ht="15" customHeight="1">
      <c r="A276" s="41"/>
      <c r="C276" s="67">
        <v>346</v>
      </c>
      <c r="D276" s="41" t="s">
        <v>78</v>
      </c>
      <c r="F276" s="67" t="s">
        <v>114</v>
      </c>
      <c r="G276" s="79" t="s">
        <v>178</v>
      </c>
      <c r="H276" s="67" t="s">
        <v>78</v>
      </c>
      <c r="I276" s="68" t="s">
        <v>272</v>
      </c>
      <c r="J276" s="67" t="s">
        <v>272</v>
      </c>
      <c r="K276" s="41" t="s">
        <v>178</v>
      </c>
      <c r="L276" s="79" t="s">
        <v>178</v>
      </c>
      <c r="M276" s="67" t="s">
        <v>343</v>
      </c>
      <c r="N276" s="67" t="s">
        <v>178</v>
      </c>
      <c r="O276" s="67" t="s">
        <v>78</v>
      </c>
    </row>
    <row r="277" spans="1:15" ht="15" customHeight="1">
      <c r="A277" s="41"/>
      <c r="C277" s="67">
        <v>347</v>
      </c>
      <c r="D277" s="41" t="s">
        <v>51</v>
      </c>
      <c r="E277" s="33"/>
      <c r="F277" s="67" t="s">
        <v>135</v>
      </c>
      <c r="G277" s="79" t="s">
        <v>179</v>
      </c>
      <c r="H277" s="67" t="s">
        <v>51</v>
      </c>
      <c r="I277" s="68" t="s">
        <v>273</v>
      </c>
      <c r="J277" s="67" t="s">
        <v>273</v>
      </c>
      <c r="K277" s="41" t="s">
        <v>179</v>
      </c>
      <c r="L277" s="79" t="s">
        <v>179</v>
      </c>
      <c r="M277" s="67" t="s">
        <v>344</v>
      </c>
      <c r="N277" s="67" t="s">
        <v>179</v>
      </c>
      <c r="O277" s="67" t="s">
        <v>51</v>
      </c>
    </row>
    <row r="278" spans="1:15" ht="15" customHeight="1">
      <c r="A278" s="41"/>
      <c r="C278" s="67">
        <v>348</v>
      </c>
      <c r="D278" s="41" t="s">
        <v>73</v>
      </c>
      <c r="E278" s="33"/>
      <c r="F278" s="67" t="s">
        <v>116</v>
      </c>
      <c r="G278" s="79" t="s">
        <v>73</v>
      </c>
      <c r="H278" s="67" t="s">
        <v>233</v>
      </c>
      <c r="I278" s="67" t="s">
        <v>73</v>
      </c>
      <c r="J278" s="67" t="s">
        <v>73</v>
      </c>
      <c r="K278" s="41" t="s">
        <v>73</v>
      </c>
      <c r="L278" s="79" t="s">
        <v>73</v>
      </c>
      <c r="M278" s="67" t="s">
        <v>346</v>
      </c>
      <c r="N278" s="67" t="s">
        <v>73</v>
      </c>
      <c r="O278" s="67" t="s">
        <v>233</v>
      </c>
    </row>
    <row r="279" spans="1:15" ht="15" customHeight="1">
      <c r="A279" s="41"/>
      <c r="C279" s="67">
        <v>349</v>
      </c>
      <c r="D279" s="41" t="s">
        <v>52</v>
      </c>
      <c r="E279" s="33"/>
      <c r="F279" s="67" t="s">
        <v>115</v>
      </c>
      <c r="G279" s="79" t="s">
        <v>181</v>
      </c>
      <c r="H279" s="67" t="s">
        <v>232</v>
      </c>
      <c r="I279" s="68" t="s">
        <v>181</v>
      </c>
      <c r="J279" s="67" t="s">
        <v>275</v>
      </c>
      <c r="K279" s="41" t="s">
        <v>181</v>
      </c>
      <c r="L279" s="41" t="s">
        <v>181</v>
      </c>
      <c r="M279" s="67" t="s">
        <v>345</v>
      </c>
      <c r="N279" s="67" t="s">
        <v>181</v>
      </c>
      <c r="O279" s="67" t="s">
        <v>232</v>
      </c>
    </row>
    <row r="280" spans="1:15" ht="15" customHeight="1">
      <c r="A280" s="41"/>
      <c r="C280" s="67">
        <v>350</v>
      </c>
      <c r="D280" s="41" t="s">
        <v>60</v>
      </c>
      <c r="E280" s="4"/>
      <c r="F280" s="67" t="s">
        <v>554</v>
      </c>
      <c r="G280" s="79" t="s">
        <v>180</v>
      </c>
      <c r="H280" s="67" t="s">
        <v>231</v>
      </c>
      <c r="I280" s="68" t="s">
        <v>274</v>
      </c>
      <c r="J280" s="67" t="s">
        <v>274</v>
      </c>
      <c r="K280" s="41" t="s">
        <v>180</v>
      </c>
      <c r="L280" s="41" t="s">
        <v>180</v>
      </c>
      <c r="M280" s="67" t="s">
        <v>180</v>
      </c>
      <c r="N280" s="67" t="s">
        <v>274</v>
      </c>
      <c r="O280" s="67" t="s">
        <v>231</v>
      </c>
    </row>
    <row r="281" spans="1:15" ht="15" customHeight="1">
      <c r="A281" s="41"/>
      <c r="C281" s="67">
        <v>351</v>
      </c>
      <c r="D281" s="67" t="s">
        <v>384</v>
      </c>
      <c r="E281" s="33"/>
      <c r="F281" s="67" t="s">
        <v>401</v>
      </c>
      <c r="G281" s="67" t="s">
        <v>389</v>
      </c>
      <c r="H281" s="37" t="s">
        <v>384</v>
      </c>
      <c r="I281" s="68" t="s">
        <v>389</v>
      </c>
      <c r="J281" s="67" t="s">
        <v>389</v>
      </c>
      <c r="K281" s="41" t="s">
        <v>389</v>
      </c>
      <c r="L281" s="33" t="s">
        <v>389</v>
      </c>
      <c r="M281" s="33" t="s">
        <v>389</v>
      </c>
      <c r="N281" s="67" t="s">
        <v>389</v>
      </c>
      <c r="O281" s="37" t="s">
        <v>384</v>
      </c>
    </row>
    <row r="282" spans="1:15" ht="15" customHeight="1">
      <c r="A282" s="41"/>
      <c r="C282" s="67">
        <v>352</v>
      </c>
      <c r="D282" s="41" t="s">
        <v>371</v>
      </c>
      <c r="E282" s="33"/>
      <c r="F282" s="67" t="s">
        <v>372</v>
      </c>
      <c r="G282" s="79" t="s">
        <v>374</v>
      </c>
      <c r="H282" s="67" t="s">
        <v>371</v>
      </c>
      <c r="I282" s="68" t="s">
        <v>374</v>
      </c>
      <c r="J282" s="67" t="s">
        <v>403</v>
      </c>
      <c r="K282" s="41" t="s">
        <v>375</v>
      </c>
      <c r="L282" s="41" t="s">
        <v>374</v>
      </c>
      <c r="M282" s="67" t="s">
        <v>374</v>
      </c>
      <c r="N282" s="41" t="s">
        <v>371</v>
      </c>
      <c r="O282" s="67" t="s">
        <v>371</v>
      </c>
    </row>
    <row r="283" spans="1:15" ht="15" customHeight="1">
      <c r="A283" s="41"/>
      <c r="C283" s="67">
        <v>353</v>
      </c>
      <c r="D283" s="41" t="s">
        <v>62</v>
      </c>
      <c r="E283" s="33"/>
      <c r="F283" s="67" t="s">
        <v>373</v>
      </c>
      <c r="G283" s="79" t="s">
        <v>182</v>
      </c>
      <c r="H283" s="67" t="s">
        <v>62</v>
      </c>
      <c r="I283" s="68" t="s">
        <v>182</v>
      </c>
      <c r="J283" s="67" t="s">
        <v>404</v>
      </c>
      <c r="K283" s="41" t="s">
        <v>313</v>
      </c>
      <c r="L283" s="41" t="s">
        <v>182</v>
      </c>
      <c r="M283" s="67" t="s">
        <v>182</v>
      </c>
      <c r="N283" s="41" t="s">
        <v>62</v>
      </c>
      <c r="O283" s="67" t="s">
        <v>62</v>
      </c>
    </row>
    <row r="284" spans="1:15" ht="15" customHeight="1">
      <c r="A284" s="33"/>
      <c r="C284" s="67">
        <v>354</v>
      </c>
      <c r="D284" s="41" t="s">
        <v>84</v>
      </c>
      <c r="E284" s="33"/>
      <c r="F284" s="41" t="s">
        <v>84</v>
      </c>
      <c r="G284" s="79" t="s">
        <v>84</v>
      </c>
      <c r="H284" s="67" t="s">
        <v>140</v>
      </c>
      <c r="I284" s="41" t="s">
        <v>84</v>
      </c>
      <c r="J284" s="67" t="s">
        <v>405</v>
      </c>
      <c r="K284" s="41" t="s">
        <v>84</v>
      </c>
      <c r="L284" s="41" t="s">
        <v>84</v>
      </c>
      <c r="M284" s="41" t="s">
        <v>84</v>
      </c>
      <c r="N284" s="41" t="s">
        <v>84</v>
      </c>
      <c r="O284" s="67" t="s">
        <v>140</v>
      </c>
    </row>
    <row r="285" spans="1:15" ht="15" customHeight="1">
      <c r="A285" s="41"/>
      <c r="C285" s="67">
        <v>355</v>
      </c>
      <c r="D285" s="41" t="s">
        <v>83</v>
      </c>
      <c r="E285" s="33"/>
      <c r="F285" s="41" t="s">
        <v>83</v>
      </c>
      <c r="G285" s="79" t="s">
        <v>83</v>
      </c>
      <c r="H285" s="67" t="s">
        <v>230</v>
      </c>
      <c r="I285" s="41" t="s">
        <v>83</v>
      </c>
      <c r="J285" s="67" t="s">
        <v>406</v>
      </c>
      <c r="K285" s="41" t="s">
        <v>83</v>
      </c>
      <c r="L285" s="41" t="s">
        <v>83</v>
      </c>
      <c r="M285" s="41" t="s">
        <v>83</v>
      </c>
      <c r="N285" s="41" t="s">
        <v>83</v>
      </c>
      <c r="O285" s="67" t="s">
        <v>141</v>
      </c>
    </row>
    <row r="286" spans="1:15" ht="15" customHeight="1">
      <c r="A286" s="41"/>
      <c r="C286" s="67">
        <v>356</v>
      </c>
      <c r="D286" s="41" t="s">
        <v>69</v>
      </c>
      <c r="E286" s="4"/>
      <c r="F286" s="67" t="s">
        <v>117</v>
      </c>
      <c r="G286" s="79" t="s">
        <v>69</v>
      </c>
      <c r="H286" s="67" t="s">
        <v>69</v>
      </c>
      <c r="I286" s="41" t="s">
        <v>69</v>
      </c>
      <c r="J286" s="67" t="s">
        <v>276</v>
      </c>
      <c r="K286" s="41" t="s">
        <v>69</v>
      </c>
      <c r="L286" s="41" t="s">
        <v>69</v>
      </c>
      <c r="M286" s="67" t="s">
        <v>69</v>
      </c>
      <c r="N286" s="41" t="s">
        <v>69</v>
      </c>
      <c r="O286" s="67" t="s">
        <v>69</v>
      </c>
    </row>
    <row r="287" spans="1:15" ht="15" customHeight="1">
      <c r="A287" s="33"/>
      <c r="C287" s="67">
        <v>357</v>
      </c>
      <c r="D287" s="67" t="s">
        <v>376</v>
      </c>
      <c r="E287" s="33"/>
      <c r="F287" s="67" t="s">
        <v>402</v>
      </c>
      <c r="G287" s="67" t="s">
        <v>390</v>
      </c>
      <c r="H287" s="67" t="s">
        <v>376</v>
      </c>
      <c r="I287" s="68" t="s">
        <v>407</v>
      </c>
      <c r="J287" s="105" t="s">
        <v>662</v>
      </c>
      <c r="K287" s="41" t="s">
        <v>390</v>
      </c>
      <c r="L287" s="67" t="s">
        <v>390</v>
      </c>
      <c r="M287" s="67" t="s">
        <v>376</v>
      </c>
      <c r="N287" s="67" t="s">
        <v>658</v>
      </c>
      <c r="O287" s="67" t="s">
        <v>376</v>
      </c>
    </row>
    <row r="288" spans="1:15" ht="15" customHeight="1">
      <c r="A288" s="41"/>
      <c r="C288" s="67">
        <v>358</v>
      </c>
      <c r="D288" s="41" t="s">
        <v>54</v>
      </c>
      <c r="E288" s="33"/>
      <c r="F288" s="67" t="s">
        <v>118</v>
      </c>
      <c r="G288" s="79" t="s">
        <v>183</v>
      </c>
      <c r="H288" s="67" t="s">
        <v>234</v>
      </c>
      <c r="I288" s="67" t="s">
        <v>54</v>
      </c>
      <c r="J288" s="67" t="s">
        <v>54</v>
      </c>
      <c r="K288" s="41" t="s">
        <v>183</v>
      </c>
      <c r="L288" s="67" t="s">
        <v>54</v>
      </c>
      <c r="M288" s="67" t="s">
        <v>54</v>
      </c>
      <c r="N288" s="67" t="s">
        <v>54</v>
      </c>
      <c r="O288" s="67" t="s">
        <v>1813</v>
      </c>
    </row>
    <row r="289" spans="1:15" ht="15" customHeight="1">
      <c r="A289" s="41"/>
      <c r="C289" s="67">
        <v>359</v>
      </c>
      <c r="D289" s="41" t="s">
        <v>65</v>
      </c>
      <c r="E289" s="33"/>
      <c r="F289" s="67" t="s">
        <v>121</v>
      </c>
      <c r="G289" s="79" t="s">
        <v>184</v>
      </c>
      <c r="H289" s="67" t="s">
        <v>237</v>
      </c>
      <c r="I289" s="68" t="s">
        <v>184</v>
      </c>
      <c r="J289" s="67" t="s">
        <v>121</v>
      </c>
      <c r="K289" s="41" t="s">
        <v>184</v>
      </c>
      <c r="L289" s="67" t="s">
        <v>184</v>
      </c>
      <c r="M289" s="67" t="s">
        <v>349</v>
      </c>
      <c r="N289" s="67" t="s">
        <v>121</v>
      </c>
      <c r="O289" s="67" t="s">
        <v>237</v>
      </c>
    </row>
    <row r="290" spans="1:15" ht="15" customHeight="1">
      <c r="A290" s="33"/>
      <c r="C290" s="67">
        <v>360</v>
      </c>
      <c r="D290" s="41" t="s">
        <v>66</v>
      </c>
      <c r="E290" s="33"/>
      <c r="F290" s="67" t="s">
        <v>119</v>
      </c>
      <c r="G290" s="79" t="s">
        <v>119</v>
      </c>
      <c r="H290" s="67" t="s">
        <v>235</v>
      </c>
      <c r="I290" s="68" t="s">
        <v>119</v>
      </c>
      <c r="J290" s="67" t="s">
        <v>119</v>
      </c>
      <c r="K290" s="41" t="s">
        <v>119</v>
      </c>
      <c r="L290" s="41" t="s">
        <v>119</v>
      </c>
      <c r="M290" s="67" t="s">
        <v>347</v>
      </c>
      <c r="N290" s="41" t="s">
        <v>66</v>
      </c>
      <c r="O290" s="67" t="s">
        <v>235</v>
      </c>
    </row>
    <row r="291" spans="1:15" ht="15" customHeight="1">
      <c r="C291" s="67">
        <v>361</v>
      </c>
      <c r="D291" s="41" t="s">
        <v>72</v>
      </c>
      <c r="E291" s="33"/>
      <c r="F291" s="67" t="s">
        <v>120</v>
      </c>
      <c r="G291" s="79" t="s">
        <v>120</v>
      </c>
      <c r="H291" s="67" t="s">
        <v>236</v>
      </c>
      <c r="I291" s="68" t="s">
        <v>120</v>
      </c>
      <c r="J291" s="67" t="s">
        <v>120</v>
      </c>
      <c r="K291" s="41" t="s">
        <v>120</v>
      </c>
      <c r="L291" s="41" t="s">
        <v>120</v>
      </c>
      <c r="M291" s="67" t="s">
        <v>348</v>
      </c>
      <c r="N291" s="41" t="s">
        <v>72</v>
      </c>
      <c r="O291" s="67" t="s">
        <v>236</v>
      </c>
    </row>
    <row r="292" spans="1:15" ht="15" customHeight="1">
      <c r="A292" s="41"/>
      <c r="C292" s="67">
        <v>362</v>
      </c>
      <c r="D292" s="41" t="s">
        <v>61</v>
      </c>
      <c r="E292" s="33"/>
      <c r="F292" s="67" t="s">
        <v>122</v>
      </c>
      <c r="G292" s="79" t="s">
        <v>185</v>
      </c>
      <c r="H292" s="67" t="s">
        <v>61</v>
      </c>
      <c r="I292" s="68" t="s">
        <v>571</v>
      </c>
      <c r="J292" s="67" t="s">
        <v>122</v>
      </c>
      <c r="K292" s="41" t="s">
        <v>571</v>
      </c>
      <c r="L292" s="67" t="s">
        <v>571</v>
      </c>
      <c r="M292" s="41" t="s">
        <v>61</v>
      </c>
      <c r="N292" s="41" t="s">
        <v>61</v>
      </c>
      <c r="O292" s="67" t="s">
        <v>1814</v>
      </c>
    </row>
    <row r="293" spans="1:15" ht="15" customHeight="1">
      <c r="A293" s="41"/>
      <c r="C293" s="67">
        <v>363</v>
      </c>
      <c r="D293" s="41" t="s">
        <v>378</v>
      </c>
      <c r="E293" s="33"/>
      <c r="F293" s="67" t="s">
        <v>380</v>
      </c>
      <c r="G293" s="79" t="s">
        <v>382</v>
      </c>
      <c r="H293" s="67" t="s">
        <v>378</v>
      </c>
      <c r="I293" s="68" t="s">
        <v>572</v>
      </c>
      <c r="J293" s="67" t="s">
        <v>380</v>
      </c>
      <c r="K293" s="41" t="s">
        <v>572</v>
      </c>
      <c r="L293" s="67" t="s">
        <v>572</v>
      </c>
      <c r="M293" s="41" t="s">
        <v>378</v>
      </c>
      <c r="N293" s="41" t="s">
        <v>378</v>
      </c>
      <c r="O293" s="67" t="s">
        <v>1815</v>
      </c>
    </row>
    <row r="294" spans="1:15" ht="15" customHeight="1">
      <c r="A294" s="41"/>
      <c r="C294" s="67">
        <v>364</v>
      </c>
      <c r="D294" s="41" t="s">
        <v>379</v>
      </c>
      <c r="E294" s="33"/>
      <c r="F294" s="67" t="s">
        <v>381</v>
      </c>
      <c r="G294" s="79" t="s">
        <v>383</v>
      </c>
      <c r="H294" s="67" t="s">
        <v>379</v>
      </c>
      <c r="I294" s="68" t="s">
        <v>573</v>
      </c>
      <c r="J294" s="67" t="s">
        <v>381</v>
      </c>
      <c r="K294" s="41" t="s">
        <v>573</v>
      </c>
      <c r="L294" s="67" t="s">
        <v>573</v>
      </c>
      <c r="M294" s="41" t="s">
        <v>379</v>
      </c>
      <c r="N294" s="41" t="s">
        <v>379</v>
      </c>
      <c r="O294" s="67" t="s">
        <v>1816</v>
      </c>
    </row>
    <row r="295" spans="1:15" ht="15" customHeight="1">
      <c r="A295" s="33"/>
      <c r="C295" s="67">
        <v>365</v>
      </c>
      <c r="D295" s="67" t="s">
        <v>377</v>
      </c>
      <c r="E295" s="33"/>
      <c r="F295" s="67" t="s">
        <v>400</v>
      </c>
      <c r="G295" s="67" t="s">
        <v>391</v>
      </c>
      <c r="H295" s="67" t="s">
        <v>377</v>
      </c>
      <c r="I295" s="68" t="s">
        <v>408</v>
      </c>
      <c r="J295" s="67" t="s">
        <v>416</v>
      </c>
      <c r="K295" s="41" t="s">
        <v>391</v>
      </c>
      <c r="L295" s="33" t="s">
        <v>391</v>
      </c>
      <c r="M295" s="67" t="s">
        <v>377</v>
      </c>
      <c r="N295" s="67" t="s">
        <v>377</v>
      </c>
      <c r="O295" s="67" t="s">
        <v>377</v>
      </c>
    </row>
    <row r="296" spans="1:15" ht="15" customHeight="1">
      <c r="A296" s="41"/>
      <c r="C296" s="67">
        <v>366</v>
      </c>
      <c r="D296" s="41" t="s">
        <v>58</v>
      </c>
      <c r="E296" s="33"/>
      <c r="F296" s="67" t="s">
        <v>123</v>
      </c>
      <c r="G296" s="79" t="s">
        <v>186</v>
      </c>
      <c r="H296" s="67" t="s">
        <v>241</v>
      </c>
      <c r="I296" s="68" t="s">
        <v>574</v>
      </c>
      <c r="J296" s="67" t="s">
        <v>277</v>
      </c>
      <c r="K296" s="41" t="s">
        <v>186</v>
      </c>
      <c r="L296" s="67" t="s">
        <v>290</v>
      </c>
      <c r="M296" s="67" t="s">
        <v>350</v>
      </c>
      <c r="N296" s="67" t="s">
        <v>509</v>
      </c>
      <c r="O296" s="67" t="s">
        <v>241</v>
      </c>
    </row>
    <row r="297" spans="1:15" ht="15" customHeight="1">
      <c r="E297" s="33"/>
      <c r="K297" s="91"/>
    </row>
    <row r="298" spans="1:15" ht="15" customHeight="1">
      <c r="D298" s="41" t="s">
        <v>137</v>
      </c>
      <c r="E298" s="33"/>
      <c r="K298" s="91"/>
    </row>
    <row r="299" spans="1:15" ht="15" customHeight="1">
      <c r="C299" s="67">
        <v>301</v>
      </c>
      <c r="D299" s="41" t="s">
        <v>144</v>
      </c>
      <c r="E299" s="33"/>
      <c r="K299" s="91"/>
    </row>
    <row r="300" spans="1:15" ht="15" customHeight="1">
      <c r="C300" s="67">
        <v>302</v>
      </c>
      <c r="D300" s="41" t="s">
        <v>142</v>
      </c>
    </row>
    <row r="301" spans="1:15" ht="15" customHeight="1">
      <c r="C301" s="67">
        <v>305</v>
      </c>
      <c r="D301" s="41" t="s">
        <v>655</v>
      </c>
    </row>
    <row r="302" spans="1:15" ht="15" customHeight="1">
      <c r="C302" s="67">
        <v>313</v>
      </c>
      <c r="D302" s="41" t="s">
        <v>653</v>
      </c>
      <c r="E302" s="33"/>
      <c r="K302" s="91"/>
    </row>
    <row r="303" spans="1:15" ht="15" customHeight="1">
      <c r="C303" s="67">
        <v>314</v>
      </c>
      <c r="D303" s="41" t="s">
        <v>654</v>
      </c>
      <c r="K303" s="91"/>
    </row>
    <row r="304" spans="1:15" ht="15" customHeight="1">
      <c r="C304" s="67">
        <v>316</v>
      </c>
      <c r="D304" s="41" t="s">
        <v>656</v>
      </c>
      <c r="K304" s="91"/>
    </row>
    <row r="305" spans="3:11" ht="15" customHeight="1">
      <c r="C305" s="67">
        <v>329</v>
      </c>
      <c r="D305" s="41" t="s">
        <v>714</v>
      </c>
      <c r="K305" s="91"/>
    </row>
    <row r="306" spans="3:11" ht="15" customHeight="1">
      <c r="C306" s="67">
        <v>340</v>
      </c>
      <c r="D306" s="41" t="s">
        <v>133</v>
      </c>
    </row>
    <row r="307" spans="3:11" ht="15" customHeight="1">
      <c r="C307" s="67">
        <v>341</v>
      </c>
      <c r="D307" s="67" t="s">
        <v>139</v>
      </c>
    </row>
    <row r="308" spans="3:11" ht="15" customHeight="1">
      <c r="C308" s="67">
        <v>341</v>
      </c>
      <c r="D308" s="67" t="s">
        <v>603</v>
      </c>
    </row>
    <row r="309" spans="3:11" ht="15" customHeight="1">
      <c r="C309" s="67">
        <v>342</v>
      </c>
      <c r="D309" s="41" t="s">
        <v>143</v>
      </c>
    </row>
    <row r="310" spans="3:11" ht="15" customHeight="1">
      <c r="C310" s="67">
        <v>342</v>
      </c>
      <c r="D310" s="41" t="s">
        <v>134</v>
      </c>
    </row>
    <row r="311" spans="3:11" ht="15" customHeight="1">
      <c r="C311" s="67">
        <v>344</v>
      </c>
      <c r="D311" s="41" t="s">
        <v>136</v>
      </c>
    </row>
    <row r="312" spans="3:11" ht="15" customHeight="1">
      <c r="C312" s="67">
        <v>345</v>
      </c>
      <c r="D312" s="67" t="s">
        <v>229</v>
      </c>
    </row>
    <row r="313" spans="3:11" ht="15" customHeight="1">
      <c r="C313" s="67">
        <v>354</v>
      </c>
      <c r="D313" s="41" t="s">
        <v>140</v>
      </c>
    </row>
    <row r="314" spans="3:11" ht="15" customHeight="1">
      <c r="C314" s="67">
        <v>355</v>
      </c>
      <c r="D314" s="41" t="s">
        <v>141</v>
      </c>
    </row>
    <row r="315" spans="3:11" ht="15" customHeight="1">
      <c r="C315" s="67">
        <v>359</v>
      </c>
      <c r="D315" s="41" t="s">
        <v>119</v>
      </c>
    </row>
    <row r="316" spans="3:11" ht="15" customHeight="1">
      <c r="C316" s="67">
        <v>360</v>
      </c>
      <c r="D316" s="41" t="s">
        <v>120</v>
      </c>
    </row>
    <row r="317" spans="3:11" ht="15" customHeight="1">
      <c r="C317" s="67">
        <v>366</v>
      </c>
      <c r="D317" s="67" t="s">
        <v>645</v>
      </c>
    </row>
    <row r="319" spans="3:11" ht="15" customHeight="1">
      <c r="C319" s="67">
        <v>109</v>
      </c>
      <c r="D319" s="33" t="s">
        <v>933</v>
      </c>
    </row>
    <row r="320" spans="3:11" ht="15" customHeight="1">
      <c r="C320" s="67">
        <v>110</v>
      </c>
      <c r="D320" s="33" t="s">
        <v>934</v>
      </c>
    </row>
    <row r="321" spans="3:4" ht="15" customHeight="1">
      <c r="C321" s="67">
        <v>111</v>
      </c>
      <c r="D321" s="33" t="s">
        <v>935</v>
      </c>
    </row>
    <row r="322" spans="3:4" ht="15" customHeight="1">
      <c r="C322" s="67">
        <v>112</v>
      </c>
      <c r="D322" s="33" t="s">
        <v>936</v>
      </c>
    </row>
    <row r="323" spans="3:4" ht="15" customHeight="1">
      <c r="C323" s="67">
        <v>113</v>
      </c>
      <c r="D323" s="33" t="s">
        <v>937</v>
      </c>
    </row>
    <row r="324" spans="3:4" ht="15" customHeight="1">
      <c r="C324" s="67">
        <v>114</v>
      </c>
      <c r="D324" s="33" t="s">
        <v>938</v>
      </c>
    </row>
    <row r="325" spans="3:4" ht="15" customHeight="1">
      <c r="C325" s="67">
        <v>146</v>
      </c>
      <c r="D325" s="8" t="s">
        <v>939</v>
      </c>
    </row>
    <row r="326" spans="3:4" ht="15" customHeight="1">
      <c r="C326" s="67">
        <v>147</v>
      </c>
      <c r="D326" s="8" t="s">
        <v>940</v>
      </c>
    </row>
    <row r="327" spans="3:4" ht="15" customHeight="1">
      <c r="C327" s="67">
        <v>152</v>
      </c>
      <c r="D327" s="33" t="s">
        <v>941</v>
      </c>
    </row>
    <row r="328" spans="3:4" ht="15" customHeight="1">
      <c r="C328" s="67">
        <v>153</v>
      </c>
      <c r="D328" s="33" t="s">
        <v>942</v>
      </c>
    </row>
    <row r="329" spans="3:4" ht="15" customHeight="1">
      <c r="C329" s="67">
        <v>154</v>
      </c>
      <c r="D329" s="33" t="s">
        <v>943</v>
      </c>
    </row>
    <row r="330" spans="3:4" ht="15" customHeight="1">
      <c r="C330" s="67">
        <v>155</v>
      </c>
      <c r="D330" s="33" t="s">
        <v>944</v>
      </c>
    </row>
    <row r="331" spans="3:4" ht="15" customHeight="1">
      <c r="C331" s="67">
        <v>160</v>
      </c>
      <c r="D331" s="67" t="s">
        <v>690</v>
      </c>
    </row>
    <row r="332" spans="3:4" ht="15" customHeight="1">
      <c r="C332" s="67">
        <v>161</v>
      </c>
      <c r="D332" s="67" t="s">
        <v>691</v>
      </c>
    </row>
    <row r="333" spans="3:4" ht="15" customHeight="1">
      <c r="C333" s="67">
        <v>162</v>
      </c>
      <c r="D333" s="33" t="s">
        <v>930</v>
      </c>
    </row>
    <row r="334" spans="3:4" ht="15" customHeight="1">
      <c r="C334" s="67">
        <v>163</v>
      </c>
      <c r="D334" s="33" t="s">
        <v>931</v>
      </c>
    </row>
    <row r="335" spans="3:4" ht="15" customHeight="1">
      <c r="C335" s="67">
        <v>164</v>
      </c>
      <c r="D335" s="33" t="s">
        <v>932</v>
      </c>
    </row>
    <row r="336" spans="3:4" ht="15" customHeight="1">
      <c r="C336" s="67">
        <v>119</v>
      </c>
      <c r="D336" s="67" t="s">
        <v>952</v>
      </c>
    </row>
    <row r="353" spans="3:5" ht="15" customHeight="1" thickBot="1">
      <c r="C353" s="66"/>
      <c r="D353" s="66"/>
      <c r="E353" s="225"/>
    </row>
  </sheetData>
  <sortState ref="A4:B144">
    <sortCondition ref="A4:A144"/>
  </sortState>
  <pageMargins left="0.23622047244094488" right="0.23622047244094488" top="0.4" bottom="0.48" header="0" footer="0"/>
  <pageSetup paperSize="11" scale="25" orientation="portrait" r:id="rId1"/>
  <legacyDrawing r:id="rId2"/>
</worksheet>
</file>

<file path=xl/worksheets/sheet4.xml><?xml version="1.0" encoding="utf-8"?>
<worksheet xmlns="http://schemas.openxmlformats.org/spreadsheetml/2006/main" xmlns:r="http://schemas.openxmlformats.org/officeDocument/2006/relationships">
  <sheetPr codeName="Sheet6"/>
  <dimension ref="A1:A6"/>
  <sheetViews>
    <sheetView workbookViewId="0">
      <selection activeCell="E15" sqref="E15:E18"/>
    </sheetView>
  </sheetViews>
  <sheetFormatPr defaultRowHeight="14.5"/>
  <sheetData>
    <row r="1" spans="1:1">
      <c r="A1" t="s">
        <v>1101</v>
      </c>
    </row>
    <row r="2" spans="1:1">
      <c r="A2" t="s">
        <v>1102</v>
      </c>
    </row>
    <row r="3" spans="1:1">
      <c r="A3" t="s">
        <v>1103</v>
      </c>
    </row>
    <row r="4" spans="1:1">
      <c r="A4" t="s">
        <v>1106</v>
      </c>
    </row>
    <row r="5" spans="1:1">
      <c r="A5" t="s">
        <v>1107</v>
      </c>
    </row>
    <row r="6" spans="1:1">
      <c r="A6" t="s">
        <v>1108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sheetPr codeName="Sheet1">
    <pageSetUpPr fitToPage="1"/>
  </sheetPr>
  <dimension ref="B1:AS62"/>
  <sheetViews>
    <sheetView topLeftCell="T1" zoomScale="70" zoomScaleNormal="70" workbookViewId="0">
      <selection activeCell="Y10" sqref="Y10"/>
    </sheetView>
  </sheetViews>
  <sheetFormatPr defaultColWidth="5.81640625" defaultRowHeight="15.5"/>
  <cols>
    <col min="1" max="1" width="5.81640625" style="1"/>
    <col min="2" max="2" width="5.08984375" style="1" bestFit="1" customWidth="1"/>
    <col min="3" max="3" width="4.1796875" style="1" bestFit="1" customWidth="1"/>
    <col min="4" max="4" width="19.81640625" style="1" bestFit="1" customWidth="1"/>
    <col min="5" max="5" width="46.453125" style="1" customWidth="1"/>
    <col min="6" max="6" width="9.08984375" style="1" customWidth="1"/>
    <col min="7" max="7" width="10.81640625" style="1" hidden="1" customWidth="1"/>
    <col min="8" max="8" width="0" style="1" hidden="1" customWidth="1"/>
    <col min="9" max="9" width="38.90625" style="2" customWidth="1"/>
    <col min="15" max="15" width="18.453125" style="2" customWidth="1"/>
    <col min="16" max="16" width="23.54296875" style="2" customWidth="1"/>
    <col min="17" max="17" width="31.453125" style="2" customWidth="1"/>
    <col min="18" max="18" width="23" style="2" customWidth="1"/>
    <col min="19" max="19" width="110.1796875" style="11" customWidth="1"/>
    <col min="20" max="20" width="5.08984375" style="2" customWidth="1"/>
    <col min="21" max="21" width="15.54296875" style="2" customWidth="1"/>
    <col min="22" max="22" width="10.81640625" style="1" customWidth="1"/>
    <col min="23" max="23" width="25" style="2" customWidth="1"/>
    <col min="24" max="24" width="42.1796875" style="11" customWidth="1"/>
    <col min="25" max="25" width="37.453125" style="11" customWidth="1"/>
    <col min="26" max="26" width="33.81640625" style="11" customWidth="1"/>
    <col min="27" max="45" width="5.81640625" style="2"/>
    <col min="46" max="16384" width="5.81640625" style="1"/>
  </cols>
  <sheetData>
    <row r="1" spans="2:26" ht="22.5" thickBot="1">
      <c r="C1" s="257" t="s">
        <v>951</v>
      </c>
      <c r="D1" s="257"/>
      <c r="E1" s="257"/>
    </row>
    <row r="2" spans="2:26" ht="45.9" customHeight="1" thickBot="1">
      <c r="B2" s="260" t="str">
        <f>CONCATENATE("Southern Africa ",'Edit Translations'!B$12,"Preview")</f>
        <v>Southern Africa 2026Preview</v>
      </c>
      <c r="C2" s="261"/>
      <c r="D2" s="261"/>
      <c r="E2" s="262"/>
      <c r="F2" s="3"/>
      <c r="O2" s="258" t="s">
        <v>194</v>
      </c>
      <c r="P2" s="259"/>
      <c r="Q2" s="259"/>
      <c r="R2" s="259"/>
      <c r="S2" s="259"/>
      <c r="T2" s="259"/>
      <c r="U2" s="259"/>
      <c r="V2" s="259"/>
    </row>
    <row r="3" spans="2:26" ht="17.399999999999999" customHeight="1" thickBot="1">
      <c r="B3" s="263" t="s">
        <v>14</v>
      </c>
      <c r="C3" s="264"/>
      <c r="D3" s="265"/>
      <c r="E3" s="266"/>
      <c r="F3" s="3"/>
      <c r="O3" s="25" t="s">
        <v>193</v>
      </c>
      <c r="P3" s="19" t="s">
        <v>192</v>
      </c>
      <c r="Q3" s="25" t="s">
        <v>93</v>
      </c>
      <c r="R3" s="5" t="s">
        <v>131</v>
      </c>
      <c r="S3" s="27" t="s">
        <v>132</v>
      </c>
      <c r="T3" s="24" t="s">
        <v>90</v>
      </c>
      <c r="U3" s="21" t="s">
        <v>195</v>
      </c>
      <c r="V3" s="20" t="s">
        <v>145</v>
      </c>
    </row>
    <row r="4" spans="2:26" s="2" customFormat="1" ht="15.65" customHeight="1" thickBot="1">
      <c r="B4" s="29" t="str">
        <f>V4</f>
        <v>Jan</v>
      </c>
      <c r="C4" s="43" t="str">
        <f>T4</f>
        <v>4</v>
      </c>
      <c r="D4" s="93" t="s">
        <v>30</v>
      </c>
      <c r="E4" s="171">
        <v>3</v>
      </c>
      <c r="F4" s="8"/>
      <c r="O4" s="39" t="str">
        <f>TransEngToBookLangA(FixSun!D4)</f>
        <v>Judas</v>
      </c>
      <c r="P4" s="26" t="str">
        <f>IF(AND((LangANo()="2"),NOT(ISBLANK(FixSun!B4))), FixSun!B4,TRIM(LookupTransA(LookupId(2,FixSun!B4))))</f>
        <v/>
      </c>
      <c r="Q4" s="26" t="str">
        <f>TRIM(LookupTransB(LookupId(2,FixSun!B4)))</f>
        <v/>
      </c>
      <c r="R4" s="17" t="str">
        <f>CalcAltTransBook(O4,R3)</f>
        <v>Judas</v>
      </c>
      <c r="S4" s="12" t="str">
        <f>TranslateRefs(FixSun!C4)</f>
        <v>0</v>
      </c>
      <c r="T4" s="23" t="str">
        <f>TEXT(FixSun!$A4,"d")</f>
        <v>4</v>
      </c>
      <c r="U4" s="16" t="str">
        <f>TransEngToLangA(TEXT(FixSun!$A4,"mmm"))</f>
        <v>Jan</v>
      </c>
      <c r="V4" s="22" t="str">
        <f>CalcAltTrans(U4,V3)</f>
        <v>Jan</v>
      </c>
      <c r="X4" s="11" t="str">
        <f>CONCATENATE("\SunChapter{",PrepareLatexText(T4),"}{",PrepareLatexText(V4),"}{",PrepareLatexText(R4),"}{",PrepareLatexText(FixSun!E4),"}")</f>
        <v>\SunChapter{\nf{4}}{Jan}{Judas}{\nf{1}}</v>
      </c>
      <c r="Y4" s="11" t="str">
        <f t="shared" ref="Y4" si="0">CONCATENATE("\SunTopic{",PrepareLatexText(T4),"}{",PrepareLatexText(V4),"}{",PrepareLatexText(P4),"}{",PrepareLatexText(Q4),"}{",ReferenceLatexText(S4),"}")</f>
        <v>\SunTopic{\nf{4}}{Jan}{}{}{\nf{0}}</v>
      </c>
      <c r="Z4" s="11" t="str">
        <f>(IF(FixSun!D4=0,IF(ISBLANK('Edit Sun'!B4),"",Y4),X4))</f>
        <v>\SunChapter{\nf{4}}{Jan}{Judas}{\nf{1}}</v>
      </c>
    </row>
    <row r="5" spans="2:26" s="2" customFormat="1" thickBot="1">
      <c r="B5" s="29" t="str">
        <f t="shared" ref="B5:B20" si="1">V5</f>
        <v>Jan</v>
      </c>
      <c r="C5" s="43" t="str">
        <f t="shared" ref="C5:C20" si="2">T5</f>
        <v>11</v>
      </c>
      <c r="D5" s="93" t="s">
        <v>30</v>
      </c>
      <c r="E5" s="171">
        <v>4</v>
      </c>
      <c r="F5" s="8"/>
      <c r="O5" s="39" t="str">
        <f>TransEngToBookLangA(FixSun!D5)</f>
        <v>Apocolipse</v>
      </c>
      <c r="P5" s="26" t="str">
        <f>IF(AND((LangANo()="2"),NOT(ISBLANK(FixSun!B5))), FixSun!B5,TRIM(LookupTransA(LookupId(2,FixSun!B5))))</f>
        <v/>
      </c>
      <c r="Q5" s="26" t="str">
        <f>TRIM(LookupTransB(LookupId(2,FixSun!B5)))</f>
        <v/>
      </c>
      <c r="R5" s="17" t="str">
        <f t="shared" ref="R5:R30" si="3">CalcAltTransBook(O5,R4)</f>
        <v>Apocolipse</v>
      </c>
      <c r="S5" s="12" t="str">
        <f>TranslateRefs(FixSun!C5)</f>
        <v>0</v>
      </c>
      <c r="T5" s="23" t="str">
        <f>TEXT(FixSun!$A5,"d")</f>
        <v>11</v>
      </c>
      <c r="U5" s="16" t="str">
        <f>TransEngToLangA(TEXT(FixSun!$A5,"mmm"))</f>
        <v>Jan</v>
      </c>
      <c r="V5" s="22" t="str">
        <f t="shared" ref="V5:V30" si="4">CalcAltTrans(U5,V4)</f>
        <v>Jan</v>
      </c>
      <c r="X5" s="11" t="str">
        <f>CONCATENATE("\SunChapter{",PrepareLatexText(T5),"}{",PrepareLatexText(V5),"}{",PrepareLatexText(R5),"}{",PrepareLatexText(FixSun!E5),"}")</f>
        <v>\SunChapter{\nf{11}}{Jan}{Apocolipse}{\nf{1}}</v>
      </c>
      <c r="Y5" s="11" t="str">
        <f t="shared" ref="Y5:Y30" si="5">CONCATENATE("\SunTopic{",PrepareLatexText(T5),"}{",PrepareLatexText(V5),"}{",PrepareLatexText(P5),"}{",PrepareLatexText(Q5),"}{",ReferenceLatexText(S5),"}")</f>
        <v>\SunTopic{\nf{11}}{Jan}{}{}{\nf{0}}</v>
      </c>
      <c r="Z5" s="11" t="str">
        <f>(IF(FixSun!D5=0,IF(ISBLANK('Edit Sun'!B5),"",Y5),X5))</f>
        <v>\SunChapter{\nf{11}}{Jan}{Apocolipse}{\nf{1}}</v>
      </c>
    </row>
    <row r="6" spans="2:26" s="2" customFormat="1" ht="38.4" customHeight="1" thickBot="1">
      <c r="B6" s="29" t="str">
        <f t="shared" si="1"/>
        <v>Jan</v>
      </c>
      <c r="C6" s="43" t="str">
        <f t="shared" si="2"/>
        <v>18</v>
      </c>
      <c r="D6" s="93" t="s">
        <v>30</v>
      </c>
      <c r="E6" s="171">
        <v>5</v>
      </c>
      <c r="F6" s="8"/>
      <c r="O6" s="39" t="str">
        <f>TransEngToBookLangA(FixSun!D6)</f>
        <v>Apocolipse</v>
      </c>
      <c r="P6" s="26" t="str">
        <f>IF(AND((LangANo()="2"),NOT(ISBLANK(FixSun!B6))), FixSun!B6,TRIM(LookupTransA(LookupId(2,FixSun!B6))))</f>
        <v/>
      </c>
      <c r="Q6" s="26" t="str">
        <f>TRIM(LookupTransB(LookupId(2,FixSun!B6)))</f>
        <v/>
      </c>
      <c r="R6" s="17" t="str">
        <f t="shared" si="3"/>
        <v>Revelation</v>
      </c>
      <c r="S6" s="12" t="str">
        <f>TranslateRefs(FixSun!C6)</f>
        <v>0</v>
      </c>
      <c r="T6" s="23" t="str">
        <f>TEXT(FixSun!$A6,"d")</f>
        <v>18</v>
      </c>
      <c r="U6" s="16" t="str">
        <f>TransEngToLangA(TEXT(FixSun!$A6,"mmm"))</f>
        <v>Jan</v>
      </c>
      <c r="V6" s="22" t="str">
        <f t="shared" si="4"/>
        <v>Jan</v>
      </c>
      <c r="X6" s="11" t="str">
        <f>CONCATENATE("\SunChapter{",PrepareLatexText(T6),"}{",PrepareLatexText(V6),"}{",PrepareLatexText(R6),"}{",PrepareLatexText(FixSun!E6),"}")</f>
        <v>\SunChapter{\nf{18}}{Jan}{Revelation}{\nf{2}}</v>
      </c>
      <c r="Y6" s="11" t="str">
        <f t="shared" si="5"/>
        <v>\SunTopic{\nf{18}}{Jan}{}{}{\nf{0}}</v>
      </c>
      <c r="Z6" s="11" t="str">
        <f>(IF(FixSun!D6=0,IF(ISBLANK('Edit Sun'!B6),"",Y6),X6))</f>
        <v>\SunChapter{\nf{18}}{Jan}{Revelation}{\nf{2}}</v>
      </c>
    </row>
    <row r="7" spans="2:26" s="2" customFormat="1" ht="15" customHeight="1" thickBot="1">
      <c r="B7" s="29" t="str">
        <f t="shared" si="1"/>
        <v>Jan</v>
      </c>
      <c r="C7" s="43" t="str">
        <f t="shared" si="2"/>
        <v>25</v>
      </c>
      <c r="D7" s="92" t="s">
        <v>353</v>
      </c>
      <c r="E7" s="172">
        <v>1</v>
      </c>
      <c r="F7" s="4"/>
      <c r="O7" s="39" t="str">
        <f>TransEngToBookLangA(FixSun!D7)</f>
        <v>Apocolipse</v>
      </c>
      <c r="P7" s="26" t="str">
        <f>IF(AND((LangANo()="2"),NOT(ISBLANK(FixSun!B7))), FixSun!B7,TRIM(LookupTransA(LookupId(2,FixSun!B7))))</f>
        <v/>
      </c>
      <c r="Q7" s="26" t="str">
        <f>TRIM(LookupTransB(LookupId(2,FixSun!B7)))</f>
        <v/>
      </c>
      <c r="R7" s="17" t="str">
        <f t="shared" si="3"/>
        <v>Apocolipse</v>
      </c>
      <c r="S7" s="12" t="str">
        <f>TranslateRefs(FixSun!C7)</f>
        <v>0</v>
      </c>
      <c r="T7" s="23" t="str">
        <f>TEXT(FixSun!$A7,"d")</f>
        <v>25</v>
      </c>
      <c r="U7" s="16" t="str">
        <f>TransEngToLangA(TEXT(FixSun!$A7,"mmm"))</f>
        <v>Jan</v>
      </c>
      <c r="V7" s="22" t="str">
        <f t="shared" si="4"/>
        <v>Jan</v>
      </c>
      <c r="X7" s="11" t="str">
        <f>CONCATENATE("\SunChapter{",PrepareLatexText(T7),"}{",PrepareLatexText(V7),"}{",PrepareLatexText(R7),"}{",PrepareLatexText(FixSun!E7),"}")</f>
        <v>\SunChapter{\nf{25}}{Jan}{Apocolipse}{\nf{3}}</v>
      </c>
      <c r="Y7" s="11" t="str">
        <f t="shared" si="5"/>
        <v>\SunTopic{\nf{25}}{Jan}{}{}{\nf{0}}</v>
      </c>
      <c r="Z7" s="11" t="str">
        <f>(IF(FixSun!D7=0,IF(ISBLANK('Edit Sun'!B7),"",Y7),X7))</f>
        <v>\SunChapter{\nf{25}}{Jan}{Apocolipse}{\nf{3}}</v>
      </c>
    </row>
    <row r="8" spans="2:26" s="2" customFormat="1" ht="45.5" thickBot="1">
      <c r="B8" s="29" t="str">
        <f t="shared" si="1"/>
        <v>Fev</v>
      </c>
      <c r="C8" s="43" t="str">
        <f t="shared" si="2"/>
        <v>1</v>
      </c>
      <c r="D8" s="267" t="s">
        <v>1050</v>
      </c>
      <c r="E8" s="268"/>
      <c r="F8" s="48"/>
      <c r="H8" s="6"/>
      <c r="I8" s="6"/>
      <c r="O8" s="39" t="str">
        <f>TransEngToBookLangA(FixSun!D8)</f>
        <v>0</v>
      </c>
      <c r="P8" s="26" t="str">
        <f>IF(AND((LangANo()="2"),NOT(ISBLANK(FixSun!B8))), FixSun!B8,TRIM(LookupTransA(LookupId(2,FixSun!B8))))</f>
        <v>O efeito da prosperidade e da adversidade</v>
      </c>
      <c r="Q8" s="26" t="str">
        <f>TRIM(LookupTransB(LookupId(2,FixSun!B8)))</f>
        <v>Effect of prosperity &amp; adversity</v>
      </c>
      <c r="R8" s="17" t="str">
        <f t="shared" si="3"/>
        <v>0</v>
      </c>
      <c r="S8" s="12" t="str">
        <f>TranslateRefs(FixSun!C8)</f>
        <v>Deu 8:11-20; Job 1:1-3,14-22; Pro 30:8,9; Ecl 2:18-23; 9:11; Luc 12:16-21</v>
      </c>
      <c r="T8" s="23" t="str">
        <f>TEXT(FixSun!$A8,"d")</f>
        <v>1</v>
      </c>
      <c r="U8" s="16" t="str">
        <f>TransEngToLangA(TEXT(FixSun!$A8,"mmm"))</f>
        <v>Fev</v>
      </c>
      <c r="V8" s="22" t="str">
        <f t="shared" si="4"/>
        <v>Fev</v>
      </c>
      <c r="X8" s="11" t="str">
        <f>CONCATENATE("\SunChapter{",PrepareLatexText(T8),"}{",PrepareLatexText(V8),"}{",PrepareLatexText(R8),"}{",PrepareLatexText(FixSun!E8),"}")</f>
        <v>\SunChapter{\nf{1}}{Fev}{\nf{0}}{\nf{0}}</v>
      </c>
      <c r="Y8" s="11" t="str">
        <f t="shared" si="5"/>
        <v>\SunTopic{\nf{1}}{Fev}{O\ efeito\ da\ prosperidade\ e\ da\ adversidade}{Effect\ of\ prosperity\ \&amp;\ adversity}{Deu~\nf{8}:\nf{11}\nobreakrefrange \nf{20};\ Job~\nf{1}:\nf{1}\nobreakrefrange \nf{3},\nf{14}\nobreakrefrange \nf{22};\ Pro~\nf{30}:\nf{8},\nf{9};\ Ecl~\nf{2}:\nf{18}\nobreakrefrange \nf{23};\ \nf{9}:\nf{11};\ Luc~\nf{12}:\nf{16}\nobreakrefrange \nf{21}}</v>
      </c>
      <c r="Z8" s="11" t="str">
        <f>(IF(FixSun!D8=0,IF(ISBLANK('Edit Sun'!B8),"",Y8),X8))</f>
        <v>\SunTopic{\nf{1}}{Fev}{O\ efeito\ da\ prosperidade\ e\ da\ adversidade}{Effect\ of\ prosperity\ \&amp;\ adversity}{Deu~\nf{8}:\nf{11}\nobreakrefrange \nf{20};\ Job~\nf{1}:\nf{1}\nobreakrefrange \nf{3},\nf{14}\nobreakrefrange \nf{22};\ Pro~\nf{30}:\nf{8},\nf{9};\ Ecl~\nf{2}:\nf{18}\nobreakrefrange \nf{23};\ \nf{9}:\nf{11};\ Luc~\nf{12}:\nf{16}\nobreakrefrange \nf{21}}</v>
      </c>
    </row>
    <row r="9" spans="2:26" s="2" customFormat="1" ht="35.4" customHeight="1" thickBot="1">
      <c r="B9" s="29" t="str">
        <f t="shared" si="1"/>
        <v>Feb</v>
      </c>
      <c r="C9" s="43" t="str">
        <f t="shared" si="2"/>
        <v>8</v>
      </c>
      <c r="D9" s="93" t="s">
        <v>353</v>
      </c>
      <c r="E9" s="171">
        <v>2</v>
      </c>
      <c r="F9" s="8"/>
      <c r="O9" s="39" t="str">
        <f>TransEngToBookLangA(FixSun!D9)</f>
        <v>Apocolipse</v>
      </c>
      <c r="P9" s="26" t="str">
        <f>IF(AND((LangANo()="2"),NOT(ISBLANK(FixSun!B9))), FixSun!B9,TRIM(LookupTransA(LookupId(2,FixSun!B9))))</f>
        <v/>
      </c>
      <c r="Q9" s="26" t="str">
        <f>TRIM(LookupTransB(LookupId(2,FixSun!B9)))</f>
        <v/>
      </c>
      <c r="R9" s="17" t="str">
        <f t="shared" si="3"/>
        <v>Apocolipse</v>
      </c>
      <c r="S9" s="12" t="str">
        <f>TranslateRefs(FixSun!C9)</f>
        <v>0</v>
      </c>
      <c r="T9" s="23" t="str">
        <f>TEXT(FixSun!$A9,"d")</f>
        <v>8</v>
      </c>
      <c r="U9" s="16" t="str">
        <f>TransEngToLangA(TEXT(FixSun!$A9,"mmm"))</f>
        <v>Fev</v>
      </c>
      <c r="V9" s="22" t="str">
        <f t="shared" si="4"/>
        <v>Feb</v>
      </c>
      <c r="X9" s="11" t="str">
        <f>CONCATENATE("\SunChapter{",PrepareLatexText(T9),"}{",PrepareLatexText(V9),"}{",PrepareLatexText(R9),"}{",PrepareLatexText(FixSun!E9),"}")</f>
        <v>\SunChapter{\nf{8}}{Feb}{Apocolipse}{\nf{4}}</v>
      </c>
      <c r="Y9" s="11" t="str">
        <f t="shared" si="5"/>
        <v>\SunTopic{\nf{8}}{Feb}{}{}{\nf{0}}</v>
      </c>
      <c r="Z9" s="11" t="str">
        <f>(IF(FixSun!D9=0,IF(ISBLANK('Edit Sun'!B9),"",Y9),X9))</f>
        <v>\SunChapter{\nf{8}}{Feb}{Apocolipse}{\nf{4}}</v>
      </c>
    </row>
    <row r="10" spans="2:26" s="2" customFormat="1" ht="15" customHeight="1" thickBot="1">
      <c r="B10" s="29" t="str">
        <f t="shared" si="1"/>
        <v>Fev</v>
      </c>
      <c r="C10" s="43" t="str">
        <f t="shared" si="2"/>
        <v>15</v>
      </c>
      <c r="D10" s="92" t="s">
        <v>353</v>
      </c>
      <c r="E10" s="172">
        <v>3</v>
      </c>
      <c r="F10" s="4"/>
      <c r="O10" s="39" t="str">
        <f>TransEngToBookLangA(FixSun!D10)</f>
        <v>Apocolipse</v>
      </c>
      <c r="P10" s="26" t="str">
        <f>IF(AND((LangANo()="2"),NOT(ISBLANK(FixSun!B10))), FixSun!B10,TRIM(LookupTransA(LookupId(2,FixSun!B10))))</f>
        <v/>
      </c>
      <c r="Q10" s="26" t="str">
        <f>TRIM(LookupTransB(LookupId(2,FixSun!B10)))</f>
        <v/>
      </c>
      <c r="R10" s="17" t="str">
        <f t="shared" si="3"/>
        <v>Revelation</v>
      </c>
      <c r="S10" s="12" t="str">
        <f>TranslateRefs(FixSun!C10)</f>
        <v>0</v>
      </c>
      <c r="T10" s="23" t="str">
        <f>TEXT(FixSun!$A10,"d")</f>
        <v>15</v>
      </c>
      <c r="U10" s="16" t="str">
        <f>TransEngToLangA(TEXT(FixSun!$A10,"mmm"))</f>
        <v>Fev</v>
      </c>
      <c r="V10" s="22" t="str">
        <f t="shared" si="4"/>
        <v>Fev</v>
      </c>
      <c r="X10" s="11" t="str">
        <f>CONCATENATE("\SunChapter{",PrepareLatexText(T10),"}{",PrepareLatexText(V10),"}{",PrepareLatexText(R10),"}{",PrepareLatexText(FixSun!E10),"}")</f>
        <v>\SunChapter{\nf{15}}{Fev}{Revelation}{\nf{5}}</v>
      </c>
      <c r="Y10" s="11" t="str">
        <f t="shared" si="5"/>
        <v>\SunTopic{\nf{15}}{Fev}{}{}{\nf{0}}</v>
      </c>
      <c r="Z10" s="11" t="str">
        <f>(IF(FixSun!D10=0,IF(ISBLANK('Edit Sun'!#REF!),"",Y10),X10))</f>
        <v>\SunChapter{\nf{15}}{Fev}{Revelation}{\nf{5}}</v>
      </c>
    </row>
    <row r="11" spans="2:26" s="2" customFormat="1" ht="30" customHeight="1" thickBot="1">
      <c r="B11" s="29" t="str">
        <f t="shared" si="1"/>
        <v>Feb</v>
      </c>
      <c r="C11" s="43" t="str">
        <f t="shared" si="2"/>
        <v>22</v>
      </c>
      <c r="D11" s="270" t="s">
        <v>1051</v>
      </c>
      <c r="E11" s="268"/>
      <c r="F11" s="48"/>
      <c r="H11" s="6"/>
      <c r="I11" s="6"/>
      <c r="O11" s="39" t="str">
        <f>TransEngToBookLangA(FixSun!D11)</f>
        <v>0</v>
      </c>
      <c r="P11" s="26" t="str">
        <f>IF(AND((LangANo()="2"),NOT(ISBLANK(FixSun!B11))), FixSun!B11,TRIM(LookupTransA(LookupId(2,FixSun!B11))))</f>
        <v>Os insondáveis caminhos de Deus</v>
      </c>
      <c r="Q11" s="26" t="str">
        <f>TRIM(LookupTransB(LookupId(2,FixSun!B11)))</f>
        <v>God's ways past finding out</v>
      </c>
      <c r="R11" s="17" t="str">
        <f t="shared" si="3"/>
        <v>0</v>
      </c>
      <c r="S11" s="12" t="str">
        <f>TranslateRefs(FixSun!C11)</f>
        <v>Êxo 20:21; 33:20; Deu 5:22; Job 26:14; 33:13; Isa 55:9; Rom 11:33; 1Tim 6:15-16</v>
      </c>
      <c r="T11" s="23" t="str">
        <f>TEXT(FixSun!$A11,"d")</f>
        <v>22</v>
      </c>
      <c r="U11" s="16" t="str">
        <f>TransEngToLangA(TEXT(FixSun!$A11,"mmm"))</f>
        <v>Fev</v>
      </c>
      <c r="V11" s="22" t="str">
        <f t="shared" si="4"/>
        <v>Feb</v>
      </c>
      <c r="X11" s="11" t="str">
        <f>CONCATENATE("\SunChapter{",PrepareLatexText(T11),"}{",PrepareLatexText(V11),"}{",PrepareLatexText(R11),"}{",PrepareLatexText(FixSun!E11),"}")</f>
        <v>\SunChapter{\nf{22}}{Feb}{\nf{0}}{\nf{0}}</v>
      </c>
      <c r="Y11" s="11" t="str">
        <f t="shared" si="5"/>
        <v>\SunTopic{\nf{22}}{Feb}{Os\ insond\'aveis\ caminhos\ de\ Deus}{God's\ ways\ past\ finding\ out}{\^Exo~\nf{20}:\nf{21};\ \nf{33}:\nf{20};\ Deu~\nf{5}:\nf{22};\ Job~\nf{26}:\nf{14};\ \nf{33}:\nf{13};\ Isa~\nf{55}:\nf{9};\ Rom~\nf{11}:\nf{33};\ \nf{1}Tim~\nf{6}:\nf{15}\nobreakrefrange \nf{16}}</v>
      </c>
      <c r="Z11" s="11" t="str">
        <f>(IF(FixSun!D11=0,IF(ISBLANK('Edit Sun'!B11),"",Y11),X11))</f>
        <v>\SunTopic{\nf{22}}{Feb}{Os\ insond\'aveis\ caminhos\ de\ Deus}{God's\ ways\ past\ finding\ out}{\^Exo~\nf{20}:\nf{21};\ \nf{33}:\nf{20};\ Deu~\nf{5}:\nf{22};\ Job~\nf{26}:\nf{14};\ \nf{33}:\nf{13};\ Isa~\nf{55}:\nf{9};\ Rom~\nf{11}:\nf{33};\ \nf{1}Tim~\nf{6}:\nf{15}\nobreakrefrange \nf{16}}</v>
      </c>
    </row>
    <row r="12" spans="2:26" s="2" customFormat="1" ht="34.5" customHeight="1" thickBot="1">
      <c r="B12" s="29" t="str">
        <f t="shared" si="1"/>
        <v>Mar</v>
      </c>
      <c r="C12" s="43" t="str">
        <f t="shared" si="2"/>
        <v>1</v>
      </c>
      <c r="D12" s="47" t="s">
        <v>467</v>
      </c>
      <c r="E12" s="171">
        <v>1</v>
      </c>
      <c r="F12" s="8"/>
      <c r="O12" s="39" t="str">
        <f>TransEngToBookLangA(FixSun!D12)</f>
        <v>Apocolipse</v>
      </c>
      <c r="P12" s="26" t="str">
        <f>IF(AND((LangANo()="2"),NOT(ISBLANK(FixSun!B12))), FixSun!B12,TRIM(LookupTransA(LookupId(2,FixSun!B12))))</f>
        <v/>
      </c>
      <c r="Q12" s="26" t="str">
        <f>TRIM(LookupTransB(LookupId(2,FixSun!B12)))</f>
        <v/>
      </c>
      <c r="R12" s="17" t="str">
        <f t="shared" si="3"/>
        <v>Apocolipse</v>
      </c>
      <c r="S12" s="12" t="str">
        <f>TranslateRefs(FixSun!C12)</f>
        <v>0</v>
      </c>
      <c r="T12" s="23" t="str">
        <f>TEXT(FixSun!$A12,"d")</f>
        <v>1</v>
      </c>
      <c r="U12" s="16" t="str">
        <f>TransEngToLangA(TEXT(FixSun!$A12,"mmm"))</f>
        <v>Mar</v>
      </c>
      <c r="V12" s="22" t="str">
        <f t="shared" si="4"/>
        <v>Mar</v>
      </c>
      <c r="X12" s="11" t="str">
        <f>CONCATENATE("\SunChapter{",PrepareLatexText(T12),"}{",PrepareLatexText(V12),"}{",PrepareLatexText(R12),"}{",PrepareLatexText(FixSun!E12),"}")</f>
        <v>\SunChapter{\nf{1}}{Mar}{Apocolipse}{\nf{6}}</v>
      </c>
      <c r="Y12" s="11" t="str">
        <f t="shared" si="5"/>
        <v>\SunTopic{\nf{1}}{Mar}{}{}{\nf{0}}</v>
      </c>
      <c r="Z12" s="11" t="str">
        <f>(IF(FixSun!D12=0,IF(ISBLANK('Edit Sun'!B12),"",Y12),X12))</f>
        <v>\SunChapter{\nf{1}}{Mar}{Apocolipse}{\nf{6}}</v>
      </c>
    </row>
    <row r="13" spans="2:26" s="2" customFormat="1" ht="15" customHeight="1" thickBot="1">
      <c r="B13" s="29" t="str">
        <f t="shared" si="1"/>
        <v>Mar</v>
      </c>
      <c r="C13" s="43" t="str">
        <f t="shared" si="2"/>
        <v>8</v>
      </c>
      <c r="D13" s="92" t="s">
        <v>467</v>
      </c>
      <c r="E13" s="172">
        <v>2</v>
      </c>
      <c r="F13" s="8"/>
      <c r="O13" s="39" t="str">
        <f>TransEngToBookLangA(FixSun!D13)</f>
        <v>Apocolipse</v>
      </c>
      <c r="P13" s="26" t="str">
        <f>IF(AND((LangANo()="2"),NOT(ISBLANK(FixSun!B13))), FixSun!B13,TRIM(LookupTransA(LookupId(2,FixSun!B13))))</f>
        <v/>
      </c>
      <c r="Q13" s="26" t="str">
        <f>TRIM(LookupTransB(LookupId(2,FixSun!B13)))</f>
        <v/>
      </c>
      <c r="R13" s="17" t="str">
        <f t="shared" si="3"/>
        <v>Revelation</v>
      </c>
      <c r="S13" s="12" t="str">
        <f>TranslateRefs(FixSun!C13)</f>
        <v>0</v>
      </c>
      <c r="T13" s="23" t="str">
        <f>TEXT(FixSun!$A13,"d")</f>
        <v>8</v>
      </c>
      <c r="U13" s="16" t="str">
        <f>TransEngToLangA(TEXT(FixSun!$A13,"mmm"))</f>
        <v>Mar</v>
      </c>
      <c r="V13" s="22" t="str">
        <f t="shared" si="4"/>
        <v>Mar</v>
      </c>
      <c r="X13" s="11" t="str">
        <f>CONCATENATE("\SunChapter{",PrepareLatexText(T13),"}{",PrepareLatexText(V13),"}{",PrepareLatexText(R13),"}{",PrepareLatexText(FixSun!E13),"}")</f>
        <v>\SunChapter{\nf{8}}{Mar}{Revelation}{\nf{7}}</v>
      </c>
      <c r="Y13" s="11" t="str">
        <f t="shared" si="5"/>
        <v>\SunTopic{\nf{8}}{Mar}{}{}{\nf{0}}</v>
      </c>
      <c r="Z13" s="11" t="str">
        <f>(IF(FixSun!D13=0,IF(ISBLANK('Edit Sun'!B13),"",Y13),X13))</f>
        <v>\SunChapter{\nf{8}}{Mar}{Revelation}{\nf{7}}</v>
      </c>
    </row>
    <row r="14" spans="2:26" s="2" customFormat="1" ht="15" customHeight="1" thickBot="1">
      <c r="B14" s="29" t="str">
        <f t="shared" si="1"/>
        <v>Mar</v>
      </c>
      <c r="C14" s="43" t="str">
        <f t="shared" si="2"/>
        <v>15</v>
      </c>
      <c r="D14" s="269" t="s">
        <v>1052</v>
      </c>
      <c r="E14" s="268"/>
      <c r="F14" s="8"/>
      <c r="O14" s="39" t="str">
        <f>TransEngToBookLangA(FixSun!D14)</f>
        <v>0</v>
      </c>
      <c r="P14" s="26" t="str">
        <f>IF(AND((LangANo()="2"),NOT(ISBLANK(FixSun!B14))), FixSun!B14,TRIM(LookupTransA(LookupId(2,FixSun!B14))))</f>
        <v>O gozo da salvação</v>
      </c>
      <c r="Q14" s="26" t="str">
        <f>TRIM(LookupTransB(LookupId(2,FixSun!B14)))</f>
        <v>Joy of Salvation</v>
      </c>
      <c r="R14" s="17" t="str">
        <f t="shared" si="3"/>
        <v>0</v>
      </c>
      <c r="S14" s="12" t="str">
        <f>TranslateRefs(FixSun!C14)</f>
        <v>1Sa 2:1-9; Sal 16:11; Mat 5:11,12; João 16:33; Ato 5:41,42; 1Ped 1:6-9</v>
      </c>
      <c r="T14" s="23" t="str">
        <f>TEXT(FixSun!$A14,"d")</f>
        <v>15</v>
      </c>
      <c r="U14" s="16" t="str">
        <f>TransEngToLangA(TEXT(FixSun!$A14,"mmm"))</f>
        <v>Mar</v>
      </c>
      <c r="V14" s="22" t="str">
        <f t="shared" si="4"/>
        <v>Mar</v>
      </c>
      <c r="X14" s="11" t="str">
        <f>CONCATENATE("\SunChapter{",PrepareLatexText(T14),"}{",PrepareLatexText(V14),"}{",PrepareLatexText(R14),"}{",PrepareLatexText(FixSun!E14),"}")</f>
        <v>\SunChapter{\nf{15}}{Mar}{\nf{0}}{\nf{0}}</v>
      </c>
      <c r="Y14" s="11" t="str">
        <f t="shared" si="5"/>
        <v>\SunTopic{\nf{15}}{Mar}{O\ gozo\ da\ salva\c{c}\~ao}{Joy\ of\ Salvation}{\nf{1}Sa~\nf{2}:\nf{1}\nobreakrefrange \nf{9};\ Sal~\nf{16}:\nf{11};\ Mat~\nf{5}:\nf{11},\nf{12};\ Jo\~ao~\nf{16}:\nf{33};\ Ato~\nf{5}:\nf{41},\nf{42};\ \nf{1}Ped~\nf{1}:\nf{6}\nobreakrefrange \nf{9}}</v>
      </c>
      <c r="Z14" s="11" t="str">
        <f>(IF(FixSun!D14=0,IF(ISBLANK('Edit Sun'!B14),"",Y14),X14))</f>
        <v>\SunTopic{\nf{15}}{Mar}{O\ gozo\ da\ salva\c{c}\~ao}{Joy\ of\ Salvation}{\nf{1}Sa~\nf{2}:\nf{1}\nobreakrefrange \nf{9};\ Sal~\nf{16}:\nf{11};\ Mat~\nf{5}:\nf{11},\nf{12};\ Jo\~ao~\nf{16}:\nf{33};\ Ato~\nf{5}:\nf{41},\nf{42};\ \nf{1}Ped~\nf{1}:\nf{6}\nobreakrefrange \nf{9}}</v>
      </c>
    </row>
    <row r="15" spans="2:26" s="2" customFormat="1" ht="30" customHeight="1" thickBot="1">
      <c r="B15" s="29" t="str">
        <f t="shared" si="1"/>
        <v>Mar</v>
      </c>
      <c r="C15" s="43" t="str">
        <f t="shared" si="2"/>
        <v>22</v>
      </c>
      <c r="D15" s="47" t="s">
        <v>467</v>
      </c>
      <c r="E15" s="171">
        <v>3</v>
      </c>
      <c r="F15" s="42"/>
      <c r="H15" s="6"/>
      <c r="I15" s="9"/>
      <c r="O15" s="39" t="str">
        <f>TransEngToBookLangA(FixSun!D15)</f>
        <v>Apocolipse</v>
      </c>
      <c r="P15" s="26" t="str">
        <f>IF(AND((LangANo()="2"),NOT(ISBLANK(FixSun!B15))), FixSun!B15,TRIM(LookupTransA(LookupId(2,FixSun!B15))))</f>
        <v/>
      </c>
      <c r="Q15" s="26" t="str">
        <f>TRIM(LookupTransB(LookupId(2,FixSun!B15)))</f>
        <v/>
      </c>
      <c r="R15" s="17" t="str">
        <f t="shared" si="3"/>
        <v>Apocolipse</v>
      </c>
      <c r="S15" s="12" t="str">
        <f>TranslateRefs(FixSun!C15)</f>
        <v>0</v>
      </c>
      <c r="T15" s="23" t="str">
        <f>TEXT(FixSun!$A15,"d")</f>
        <v>22</v>
      </c>
      <c r="U15" s="16" t="str">
        <f>TransEngToLangA(TEXT(FixSun!$A15,"mmm"))</f>
        <v>Mar</v>
      </c>
      <c r="V15" s="22" t="str">
        <f t="shared" si="4"/>
        <v>Mar</v>
      </c>
      <c r="X15" s="11" t="str">
        <f>CONCATENATE("\SunChapter{",PrepareLatexText(T15),"}{",PrepareLatexText(V15),"}{",PrepareLatexText(R15),"}{",PrepareLatexText(FixSun!E15),"}")</f>
        <v>\SunChapter{\nf{22}}{Mar}{Apocolipse}{\nf{8}}</v>
      </c>
      <c r="Y15" s="11" t="str">
        <f t="shared" si="5"/>
        <v>\SunTopic{\nf{22}}{Mar}{}{}{\nf{0}}</v>
      </c>
      <c r="Z15" s="11" t="str">
        <f>(IF(FixSun!D15=0,IF(ISBLANK('Edit Sun'!B15),"",Y15),X15))</f>
        <v>\SunChapter{\nf{22}}{Mar}{Apocolipse}{\nf{8}}</v>
      </c>
    </row>
    <row r="16" spans="2:26" s="2" customFormat="1" ht="15" customHeight="1" thickBot="1">
      <c r="B16" s="29" t="str">
        <f t="shared" si="1"/>
        <v>Mar</v>
      </c>
      <c r="C16" s="43" t="str">
        <f t="shared" si="2"/>
        <v>29</v>
      </c>
      <c r="D16" s="92" t="s">
        <v>467</v>
      </c>
      <c r="E16" s="172">
        <v>4</v>
      </c>
      <c r="F16" s="48"/>
      <c r="O16" s="39" t="str">
        <f>TransEngToBookLangA(FixSun!D16)</f>
        <v>Apocolipse</v>
      </c>
      <c r="P16" s="26" t="str">
        <f>IF(AND((LangANo()="2"),NOT(ISBLANK(FixSun!B16))), FixSun!B16,TRIM(LookupTransA(LookupId(2,FixSun!B16))))</f>
        <v/>
      </c>
      <c r="Q16" s="26" t="str">
        <f>TRIM(LookupTransB(LookupId(2,FixSun!B16)))</f>
        <v/>
      </c>
      <c r="R16" s="17" t="str">
        <f t="shared" si="3"/>
        <v>Revelation</v>
      </c>
      <c r="S16" s="12" t="str">
        <f>TranslateRefs(FixSun!C16)</f>
        <v>0</v>
      </c>
      <c r="T16" s="23" t="str">
        <f>TEXT(FixSun!$A16,"d")</f>
        <v>29</v>
      </c>
      <c r="U16" s="16" t="str">
        <f>TransEngToLangA(TEXT(FixSun!$A16,"mmm"))</f>
        <v>Mar</v>
      </c>
      <c r="V16" s="22" t="str">
        <f t="shared" si="4"/>
        <v>Mar</v>
      </c>
      <c r="X16" s="11" t="str">
        <f>CONCATENATE("\SunChapter{",PrepareLatexText(T16),"}{",PrepareLatexText(V16),"}{",PrepareLatexText(R16),"}{",PrepareLatexText(FixSun!E16),"}")</f>
        <v>\SunChapter{\nf{29}}{Mar}{Revelation}{\nf{9}}</v>
      </c>
      <c r="Y16" s="11" t="str">
        <f t="shared" si="5"/>
        <v>\SunTopic{\nf{29}}{Mar}{}{}{\nf{0}}</v>
      </c>
      <c r="Z16" s="11" t="str">
        <f>(IF(FixSun!D16=0,IF(ISBLANK('Edit Sun'!B16),"",Y16),X16))</f>
        <v>\SunChapter{\nf{29}}{Mar}{Revelation}{\nf{9}}</v>
      </c>
    </row>
    <row r="17" spans="2:26" s="2" customFormat="1" ht="15" customHeight="1" thickBot="1">
      <c r="B17" s="29" t="str">
        <f t="shared" si="1"/>
        <v>Abr</v>
      </c>
      <c r="C17" s="43" t="str">
        <f t="shared" si="2"/>
        <v>5</v>
      </c>
      <c r="D17" s="270" t="s">
        <v>1053</v>
      </c>
      <c r="E17" s="268"/>
      <c r="F17" s="8"/>
      <c r="O17" s="39" t="str">
        <f>TransEngToBookLangA(FixSun!D17)</f>
        <v>0</v>
      </c>
      <c r="P17" s="26" t="str">
        <f>IF(AND((LangANo()="2"),NOT(ISBLANK(FixSun!B17))), FixSun!B17,TRIM(LookupTransA(LookupId(2,FixSun!B17))))</f>
        <v>Não há fuga</v>
      </c>
      <c r="Q17" s="26" t="str">
        <f>TRIM(LookupTransB(LookupId(2,FixSun!B17)))</f>
        <v>No way of escape</v>
      </c>
      <c r="R17" s="17" t="str">
        <f t="shared" si="3"/>
        <v>0</v>
      </c>
      <c r="S17" s="12" t="str">
        <f>TranslateRefs(FixSun!C17)</f>
        <v>Êxo 14:23-28; Num 22:32; Jos 13:22; Luc 16:24-29; Heb 2:1-4; 10:24-31; 12:17; 2Ped 2:4-6</v>
      </c>
      <c r="T17" s="23" t="str">
        <f>TEXT(FixSun!$A17,"d")</f>
        <v>5</v>
      </c>
      <c r="U17" s="16" t="str">
        <f>TransEngToLangA(TEXT(FixSun!$A17,"mmm"))</f>
        <v>Abr</v>
      </c>
      <c r="V17" s="22" t="str">
        <f t="shared" si="4"/>
        <v>Abr</v>
      </c>
      <c r="X17" s="11" t="str">
        <f>CONCATENATE("\SunChapter{",PrepareLatexText(T17),"}{",PrepareLatexText(V17),"}{",PrepareLatexText(R17),"}{",PrepareLatexText(FixSun!E17),"}")</f>
        <v>\SunChapter{\nf{5}}{Abr}{\nf{0}}{\nf{0}}</v>
      </c>
      <c r="Y17" s="11" t="str">
        <f t="shared" si="5"/>
        <v>\SunTopic{\nf{5}}{Abr}{N\~ao\ h\'a\ fuga}{No\ way\ of\ escape}{\^Exo~\nf{14}:\nf{23}\nobreakrefrange \nf{28};\ Num~\nf{22}:\nf{32};\ Jos~\nf{13}:\nf{22};\ Luc~\nf{16}:\nf{24}\nobreakrefrange \nf{29};\ Heb~\nf{2}:\nf{1}\nobreakrefrange \nf{4};\ \nf{10}:\nf{24}\nobreakrefrange \nf{31};\ \nf{12}:\nf{17};\ \nf{2}Ped~\nf{2}:\nf{4}\nobreakrefrange \nf{6}}</v>
      </c>
      <c r="Z17" s="11" t="str">
        <f>(IF(FixSun!D17=0,IF(ISBLANK('Edit Sun'!B17),"",Y17),X17))</f>
        <v>\SunTopic{\nf{5}}{Abr}{N\~ao\ h\'a\ fuga}{No\ way\ of\ escape}{\^Exo~\nf{14}:\nf{23}\nobreakrefrange \nf{28};\ Num~\nf{22}:\nf{32};\ Jos~\nf{13}:\nf{22};\ Luc~\nf{16}:\nf{24}\nobreakrefrange \nf{29};\ Heb~\nf{2}:\nf{1}\nobreakrefrange \nf{4};\ \nf{10}:\nf{24}\nobreakrefrange \nf{31};\ \nf{12}:\nf{17};\ \nf{2}Ped~\nf{2}:\nf{4}\nobreakrefrange \nf{6}}</v>
      </c>
    </row>
    <row r="18" spans="2:26" s="2" customFormat="1" ht="37.5" customHeight="1" thickBot="1">
      <c r="B18" s="29" t="str">
        <f t="shared" si="1"/>
        <v>Apr</v>
      </c>
      <c r="C18" s="43" t="str">
        <f t="shared" si="2"/>
        <v>12</v>
      </c>
      <c r="D18" s="47" t="s">
        <v>467</v>
      </c>
      <c r="E18" s="171">
        <v>5</v>
      </c>
      <c r="F18" s="16"/>
      <c r="H18" s="6"/>
      <c r="I18" s="6"/>
      <c r="O18" s="39" t="str">
        <f>TransEngToBookLangA(FixSun!D18)</f>
        <v>Apocolipse</v>
      </c>
      <c r="P18" s="26" t="str">
        <f>IF(AND((LangANo()="2"),NOT(ISBLANK(FixSun!B18))), FixSun!B18,TRIM(LookupTransA(LookupId(2,FixSun!B18))))</f>
        <v/>
      </c>
      <c r="Q18" s="26" t="str">
        <f>TRIM(LookupTransB(LookupId(2,FixSun!B18)))</f>
        <v/>
      </c>
      <c r="R18" s="17" t="str">
        <f t="shared" si="3"/>
        <v>Apocolipse</v>
      </c>
      <c r="S18" s="12" t="str">
        <f>TranslateRefs(FixSun!C18)</f>
        <v>0</v>
      </c>
      <c r="T18" s="23" t="str">
        <f>TEXT(FixSun!$A18,"d")</f>
        <v>12</v>
      </c>
      <c r="U18" s="16" t="str">
        <f>TransEngToLangA(TEXT(FixSun!$A18,"mmm"))</f>
        <v>Abr</v>
      </c>
      <c r="V18" s="22" t="str">
        <f t="shared" si="4"/>
        <v>Apr</v>
      </c>
      <c r="X18" s="11" t="str">
        <f>CONCATENATE("\SunChapter{",PrepareLatexText(T18),"}{",PrepareLatexText(V18),"}{",PrepareLatexText(R18),"}{",PrepareLatexText(FixSun!E18),"}")</f>
        <v>\SunChapter{\nf{12}}{Apr}{Apocolipse}{\nf{10}}</v>
      </c>
      <c r="Y18" s="11" t="str">
        <f t="shared" si="5"/>
        <v>\SunTopic{\nf{12}}{Apr}{}{}{\nf{0}}</v>
      </c>
      <c r="Z18" s="11" t="str">
        <f>(IF(FixSun!D18=0,IF(ISBLANK('Edit Sun'!B18),"",Y18),X18))</f>
        <v>\SunChapter{\nf{12}}{Apr}{Apocolipse}{\nf{10}}</v>
      </c>
    </row>
    <row r="19" spans="2:26" s="2" customFormat="1" ht="30" customHeight="1" thickBot="1">
      <c r="B19" s="29" t="str">
        <f t="shared" si="1"/>
        <v>Abr</v>
      </c>
      <c r="C19" s="43" t="str">
        <f t="shared" si="2"/>
        <v>19</v>
      </c>
      <c r="D19" s="95" t="s">
        <v>468</v>
      </c>
      <c r="E19" s="172">
        <v>1</v>
      </c>
      <c r="F19" s="8"/>
      <c r="O19" s="39" t="str">
        <f>TransEngToBookLangA(FixSun!D19)</f>
        <v>Apocolipse</v>
      </c>
      <c r="P19" s="26" t="str">
        <f>IF(AND((LangANo()="2"),NOT(ISBLANK(FixSun!B19))), FixSun!B19,TRIM(LookupTransA(LookupId(2,FixSun!B19))))</f>
        <v/>
      </c>
      <c r="Q19" s="26" t="str">
        <f>TRIM(LookupTransB(LookupId(2,FixSun!B19)))</f>
        <v/>
      </c>
      <c r="R19" s="17" t="str">
        <f t="shared" si="3"/>
        <v>Revelation</v>
      </c>
      <c r="S19" s="12" t="str">
        <f>TranslateRefs(FixSun!C19)</f>
        <v>0</v>
      </c>
      <c r="T19" s="23" t="str">
        <f>TEXT(FixSun!$A19,"d")</f>
        <v>19</v>
      </c>
      <c r="U19" s="16" t="str">
        <f>TransEngToLangA(TEXT(FixSun!$A19,"mmm"))</f>
        <v>Abr</v>
      </c>
      <c r="V19" s="22" t="str">
        <f t="shared" si="4"/>
        <v>Abr</v>
      </c>
      <c r="X19" s="11" t="str">
        <f>CONCATENATE("\SunChapter{",PrepareLatexText(T19),"}{",PrepareLatexText(V19),"}{",PrepareLatexText(R19),"}{",PrepareLatexText(FixSun!E19),"}")</f>
        <v>\SunChapter{\nf{19}}{Abr}{Revelation}{\nf{11}}</v>
      </c>
      <c r="Y19" s="11" t="str">
        <f t="shared" si="5"/>
        <v>\SunTopic{\nf{19}}{Abr}{}{}{\nf{0}}</v>
      </c>
      <c r="Z19" s="11" t="str">
        <f>(IF(FixSun!D19=0,IF(ISBLANK('Edit Sun'!B19),"",Y19),X19))</f>
        <v>\SunChapter{\nf{19}}{Abr}{Revelation}{\nf{11}}</v>
      </c>
    </row>
    <row r="20" spans="2:26" s="2" customFormat="1" ht="30.5" thickBot="1">
      <c r="B20" s="29" t="str">
        <f t="shared" si="1"/>
        <v>Apr</v>
      </c>
      <c r="C20" s="43" t="str">
        <f t="shared" si="2"/>
        <v>26</v>
      </c>
      <c r="D20" s="270" t="s">
        <v>1054</v>
      </c>
      <c r="E20" s="268"/>
      <c r="F20" s="8"/>
      <c r="O20" s="39" t="str">
        <f>TransEngToBookLangA(FixSun!D20)</f>
        <v>0</v>
      </c>
      <c r="P20" s="26" t="str">
        <f>IF(AND((LangANo()="2"),NOT(ISBLANK(FixSun!B20))), FixSun!B20,TRIM(LookupTransA(LookupId(2,FixSun!B20))))</f>
        <v>Os privilégios especiais que desfrutamos</v>
      </c>
      <c r="Q20" s="26" t="str">
        <f>TRIM(LookupTransB(LookupId(2,FixSun!B20)))</f>
        <v>Special privileges we enjoy</v>
      </c>
      <c r="R20" s="17" t="str">
        <f t="shared" si="3"/>
        <v>0</v>
      </c>
      <c r="S20" s="12" t="str">
        <f>TranslateRefs(FixSun!C20)</f>
        <v>Mat 13:10-12; Luc 10:21-24; João 14:16-18; Rom 5:1-6; 1Cor 2:9-12; 1Jo 2:18-21; 3:1-2</v>
      </c>
      <c r="T20" s="23" t="str">
        <f>TEXT(FixSun!$A20,"d")</f>
        <v>26</v>
      </c>
      <c r="U20" s="16" t="str">
        <f>TransEngToLangA(TEXT(FixSun!$A20,"mmm"))</f>
        <v>Abr</v>
      </c>
      <c r="V20" s="22" t="str">
        <f t="shared" si="4"/>
        <v>Apr</v>
      </c>
      <c r="X20" s="11" t="str">
        <f>CONCATENATE("\SunChapter{",PrepareLatexText(T20),"}{",PrepareLatexText(V20),"}{",PrepareLatexText(R20),"}{",PrepareLatexText(FixSun!E20),"}")</f>
        <v>\SunChapter{\nf{26}}{Apr}{\nf{0}}{\nf{0}}</v>
      </c>
      <c r="Y20" s="11" t="str">
        <f t="shared" si="5"/>
        <v>\SunTopic{\nf{26}}{Apr}{Os\ privil\'egios\ especiais\ que\ desfrutamos}{Special\ privileges\ we\ enjoy}{Mat~\nf{13}:\nf{10}\nobreakrefrange \nf{12};\ Luc~\nf{10}:\nf{21}\nobreakrefrange \nf{24};\ Jo\~ao~\nf{14}:\nf{16}\nobreakrefrange \nf{18};\ Rom~\nf{5}:\nf{1}\nobreakrefrange \nf{6};\ \nf{1}Cor~\nf{2}:\nf{9}\nobreakrefrange \nf{12};\ \nf{1}Jo~\nf{2}:\nf{18}\nobreakrefrange \nf{21};\ \nf{3}:\nf{1}\nobreakrefrange \nf{2}}</v>
      </c>
      <c r="Z20" s="11" t="str">
        <f>(IF(FixSun!D20=0,IF(ISBLANK('Edit Sun'!B20),"",Y20),X20))</f>
        <v>\SunTopic{\nf{26}}{Apr}{Os\ privil\'egios\ especiais\ que\ desfrutamos}{Special\ privileges\ we\ enjoy}{Mat~\nf{13}:\nf{10}\nobreakrefrange \nf{12};\ Luc~\nf{10}:\nf{21}\nobreakrefrange \nf{24};\ Jo\~ao~\nf{14}:\nf{16}\nobreakrefrange \nf{18};\ Rom~\nf{5}:\nf{1}\nobreakrefrange \nf{6};\ \nf{1}Cor~\nf{2}:\nf{9}\nobreakrefrange \nf{12};\ \nf{1}Jo~\nf{2}:\nf{18}\nobreakrefrange \nf{21};\ \nf{3}:\nf{1}\nobreakrefrange \nf{2}}</v>
      </c>
    </row>
    <row r="21" spans="2:26" s="2" customFormat="1" thickBot="1">
      <c r="B21" s="30" t="s">
        <v>5</v>
      </c>
      <c r="C21" s="43">
        <v>2</v>
      </c>
      <c r="D21" s="47" t="s">
        <v>469</v>
      </c>
      <c r="E21" s="171">
        <v>1</v>
      </c>
      <c r="F21" s="8"/>
      <c r="O21" s="39" t="str">
        <f>TransEngToBookLangA(FixSun!D21)</f>
        <v>Apocolipse</v>
      </c>
      <c r="P21" s="26" t="str">
        <f>IF(AND((LangANo()="2"),NOT(ISBLANK(FixSun!B21))), FixSun!B21,TRIM(LookupTransA(LookupId(2,FixSun!B21))))</f>
        <v/>
      </c>
      <c r="Q21" s="26" t="str">
        <f>TRIM(LookupTransB(LookupId(2,FixSun!B21)))</f>
        <v/>
      </c>
      <c r="R21" s="17" t="str">
        <f t="shared" si="3"/>
        <v>Apocolipse</v>
      </c>
      <c r="S21" s="12" t="str">
        <f>TranslateRefs(FixSun!C21)</f>
        <v>0</v>
      </c>
      <c r="T21" s="23" t="str">
        <f>TEXT(FixSun!$A21,"d")</f>
        <v>3</v>
      </c>
      <c r="U21" s="16" t="str">
        <f>TransEngToLangA(TEXT(FixSun!$A21,"mmm"))</f>
        <v>Mai</v>
      </c>
      <c r="V21" s="22" t="str">
        <f t="shared" si="4"/>
        <v>Mai</v>
      </c>
      <c r="X21" s="11" t="str">
        <f>CONCATENATE("\SunChapter{",PrepareLatexText(T21),"}{",PrepareLatexText(V21),"}{",PrepareLatexText(R21),"}{",PrepareLatexText(FixSun!E21),"}")</f>
        <v>\SunChapter{\nf{3}}{Mai}{Apocolipse}{\nf{12}}</v>
      </c>
      <c r="Y21" s="11" t="str">
        <f t="shared" si="5"/>
        <v>\SunTopic{\nf{3}}{Mai}{}{}{\nf{0}}</v>
      </c>
      <c r="Z21" s="11" t="str">
        <f>(IF(FixSun!D21=0,IF(ISBLANK('Edit Sun'!B21),"",Y21),X21))</f>
        <v>\SunChapter{\nf{3}}{Mai}{Apocolipse}{\nf{12}}</v>
      </c>
    </row>
    <row r="22" spans="2:26" s="2" customFormat="1" ht="15" customHeight="1" thickBot="1">
      <c r="B22" s="29" t="str">
        <f>V22</f>
        <v>May</v>
      </c>
      <c r="C22" s="43" t="str">
        <f t="shared" ref="C22:C29" si="6">T22</f>
        <v>10</v>
      </c>
      <c r="D22" s="95" t="s">
        <v>270</v>
      </c>
      <c r="E22" s="172">
        <v>1</v>
      </c>
      <c r="F22" s="4"/>
      <c r="O22" s="39" t="str">
        <f>TransEngToBookLangA(FixSun!D22)</f>
        <v>Apocolipse</v>
      </c>
      <c r="P22" s="26" t="str">
        <f>IF(AND((LangANo()="2"),NOT(ISBLANK(FixSun!B22))), FixSun!B22,TRIM(LookupTransA(LookupId(2,FixSun!B22))))</f>
        <v/>
      </c>
      <c r="Q22" s="26" t="str">
        <f>TRIM(LookupTransB(LookupId(2,FixSun!B22)))</f>
        <v/>
      </c>
      <c r="R22" s="17" t="str">
        <f t="shared" si="3"/>
        <v>Revelation</v>
      </c>
      <c r="S22" s="12" t="str">
        <f>TranslateRefs(FixSun!C22)</f>
        <v>0</v>
      </c>
      <c r="T22" s="23" t="str">
        <f>TEXT(FixSun!$A22,"d")</f>
        <v>10</v>
      </c>
      <c r="U22" s="16" t="str">
        <f>TransEngToLangA(TEXT(FixSun!$A22,"mmm"))</f>
        <v>Mai</v>
      </c>
      <c r="V22" s="22" t="str">
        <f t="shared" si="4"/>
        <v>May</v>
      </c>
      <c r="X22" s="11" t="str">
        <f>CONCATENATE("\SunChapter{",PrepareLatexText(T22),"}{",PrepareLatexText(V22),"}{",PrepareLatexText(R22),"}{",PrepareLatexText(FixSun!E22),"}")</f>
        <v>\SunChapter{\nf{10}}{May}{Revelation}{\nf{13}}</v>
      </c>
      <c r="Y22" s="11" t="str">
        <f t="shared" si="5"/>
        <v>\SunTopic{\nf{10}}{May}{}{}{\nf{0}}</v>
      </c>
      <c r="Z22" s="11" t="str">
        <f>(IF(FixSun!D22=0,IF(ISBLANK('Edit Sun'!B22),"",Y22),X22))</f>
        <v>\SunChapter{\nf{10}}{May}{Revelation}{\nf{13}}</v>
      </c>
    </row>
    <row r="23" spans="2:26" s="2" customFormat="1" thickBot="1">
      <c r="B23" s="29" t="str">
        <f>V23</f>
        <v>Mai</v>
      </c>
      <c r="C23" s="43" t="str">
        <f t="shared" si="6"/>
        <v>17</v>
      </c>
      <c r="D23" s="270" t="s">
        <v>1055</v>
      </c>
      <c r="E23" s="268"/>
      <c r="F23" s="48"/>
      <c r="H23" s="6"/>
      <c r="I23" s="6"/>
      <c r="O23" s="39" t="str">
        <f>TransEngToBookLangA(FixSun!D23)</f>
        <v>0</v>
      </c>
      <c r="P23" s="26" t="str">
        <f>IF(AND((LangANo()="2"),NOT(ISBLANK(FixSun!B23))), FixSun!B23,TRIM(LookupTransA(LookupId(2,FixSun!B23))))</f>
        <v>Exemplos convincentes</v>
      </c>
      <c r="Q23" s="26" t="str">
        <f>TRIM(LookupTransB(LookupId(2,FixSun!B23)))</f>
        <v>Convincing Examples</v>
      </c>
      <c r="R23" s="17" t="str">
        <f t="shared" si="3"/>
        <v>0</v>
      </c>
      <c r="S23" s="12" t="str">
        <f>TranslateRefs(FixSun!C23)</f>
        <v>Rth 1:15-18; 2Rs 2:9,10; 5:1-4; Mat 5:13–16; Luc 22:10; João 12:3; 2Cor 2:14-16; Heb 12:1,2</v>
      </c>
      <c r="T23" s="23" t="str">
        <f>TEXT(FixSun!$A23,"d")</f>
        <v>17</v>
      </c>
      <c r="U23" s="16" t="str">
        <f>TransEngToLangA(TEXT(FixSun!$A23,"mmm"))</f>
        <v>Mai</v>
      </c>
      <c r="V23" s="22" t="str">
        <f t="shared" si="4"/>
        <v>Mai</v>
      </c>
      <c r="X23" s="11" t="str">
        <f>CONCATENATE("\SunChapter{",PrepareLatexText(T23),"}{",PrepareLatexText(V23),"}{",PrepareLatexText(R23),"}{",PrepareLatexText(FixSun!E23),"}")</f>
        <v>\SunChapter{\nf{17}}{Mai}{\nf{0}}{\nf{0}}</v>
      </c>
      <c r="Y23" s="11" t="str">
        <f t="shared" si="5"/>
        <v>\SunTopic{\nf{17}}{Mai}{Exemplos\ convincentes}{Convincing\ Examples}{Rth~\nf{1}:\nf{15}\nobreakrefrange \nf{18};\ \nf{2}Rs~\nf{2}:\nf{9},\nf{10};\ \nf{5}:\nf{1}\nobreakrefrange \nf{4};\ Mat~\nf{5}:\nf{13}\nobreakrefrange \nf{16};\ Luc~\nf{22}:\nf{10};\ Jo\~ao~\nf{12}:\nf{3};\ \nf{2}Cor~\nf{2}:\nf{14}\nobreakrefrange \nf{16};\ Heb~\nf{12}:\nf{1},\nf{2}}</v>
      </c>
      <c r="Z23" s="11" t="str">
        <f>(IF(FixSun!D23=0,IF(ISBLANK('Edit Sun'!B23),"",Y23),X23))</f>
        <v>\SunTopic{\nf{17}}{Mai}{Exemplos\ convincentes}{Convincing\ Examples}{Rth~\nf{1}:\nf{15}\nobreakrefrange \nf{18};\ \nf{2}Rs~\nf{2}:\nf{9},\nf{10};\ \nf{5}:\nf{1}\nobreakrefrange \nf{4};\ Mat~\nf{5}:\nf{13}\nobreakrefrange \nf{16};\ Luc~\nf{22}:\nf{10};\ Jo\~ao~\nf{12}:\nf{3};\ \nf{2}Cor~\nf{2}:\nf{14}\nobreakrefrange \nf{16};\ Heb~\nf{12}:\nf{1},\nf{2}}</v>
      </c>
    </row>
    <row r="24" spans="2:26" s="2" customFormat="1" ht="37.5" customHeight="1" thickBot="1">
      <c r="B24" s="30" t="s">
        <v>5</v>
      </c>
      <c r="C24" s="43" t="str">
        <f t="shared" si="6"/>
        <v>24</v>
      </c>
      <c r="D24" s="93" t="s">
        <v>270</v>
      </c>
      <c r="E24" s="171">
        <v>2</v>
      </c>
      <c r="F24" s="8"/>
      <c r="O24" s="39" t="str">
        <f>TransEngToBookLangA(FixSun!D24)</f>
        <v>Apocolipse</v>
      </c>
      <c r="P24" s="26" t="str">
        <f>IF(AND((LangANo()="2"),NOT(ISBLANK(FixSun!B24))), FixSun!B24,TRIM(LookupTransA(LookupId(2,FixSun!B24))))</f>
        <v/>
      </c>
      <c r="Q24" s="26" t="str">
        <f>TRIM(LookupTransB(LookupId(2,FixSun!B24)))</f>
        <v/>
      </c>
      <c r="R24" s="17" t="str">
        <f t="shared" si="3"/>
        <v>Apocolipse</v>
      </c>
      <c r="S24" s="12" t="str">
        <f>TranslateRefs(FixSun!C24)</f>
        <v>0</v>
      </c>
      <c r="T24" s="23" t="str">
        <f>TEXT(FixSun!$A24,"d")</f>
        <v>24</v>
      </c>
      <c r="U24" s="16" t="str">
        <f>TransEngToLangA(TEXT(FixSun!$A24,"mmm"))</f>
        <v>Mai</v>
      </c>
      <c r="V24" s="22" t="str">
        <f t="shared" si="4"/>
        <v>May</v>
      </c>
      <c r="X24" s="11" t="str">
        <f>CONCATENATE("\SunChapter{",PrepareLatexText(T24),"}{",PrepareLatexText(V24),"}{",PrepareLatexText(R24),"}{",PrepareLatexText(FixSun!E24),"}")</f>
        <v>\SunChapter{\nf{24}}{May}{Apocolipse}{\nf{14}}</v>
      </c>
      <c r="Y24" s="11" t="str">
        <f t="shared" si="5"/>
        <v>\SunTopic{\nf{24}}{May}{}{}{\nf{0}}</v>
      </c>
      <c r="Z24" s="11" t="str">
        <f>(IF(FixSun!D24=0,IF(ISBLANK('Edit Sun'!B24),"",Y24),X24))</f>
        <v>\SunChapter{\nf{24}}{May}{Apocolipse}{\nf{14}}</v>
      </c>
    </row>
    <row r="25" spans="2:26" s="2" customFormat="1" ht="15" customHeight="1" thickBot="1">
      <c r="B25" s="29" t="str">
        <f>V25</f>
        <v>Mai</v>
      </c>
      <c r="C25" s="43" t="str">
        <f t="shared" si="6"/>
        <v>31</v>
      </c>
      <c r="D25" s="95" t="s">
        <v>270</v>
      </c>
      <c r="E25" s="172">
        <v>3</v>
      </c>
      <c r="F25" s="8"/>
      <c r="O25" s="39" t="str">
        <f>TransEngToBookLangA(FixSun!D25)</f>
        <v>Apocolipse</v>
      </c>
      <c r="P25" s="26" t="str">
        <f>IF(AND((LangANo()="2"),NOT(ISBLANK(FixSun!B25))), FixSun!B25,TRIM(LookupTransA(LookupId(2,FixSun!B25))))</f>
        <v/>
      </c>
      <c r="Q25" s="26" t="str">
        <f>TRIM(LookupTransB(LookupId(2,FixSun!B25)))</f>
        <v/>
      </c>
      <c r="R25" s="17" t="str">
        <f t="shared" si="3"/>
        <v>Revelation</v>
      </c>
      <c r="S25" s="12" t="str">
        <f>TranslateRefs(FixSun!C25)</f>
        <v>0</v>
      </c>
      <c r="T25" s="23" t="str">
        <f>TEXT(FixSun!$A25,"d")</f>
        <v>31</v>
      </c>
      <c r="U25" s="16" t="str">
        <f>TransEngToLangA(TEXT(FixSun!$A25,"mmm"))</f>
        <v>Mai</v>
      </c>
      <c r="V25" s="22" t="str">
        <f t="shared" si="4"/>
        <v>Mai</v>
      </c>
      <c r="X25" s="11" t="str">
        <f>CONCATENATE("\SunChapter{",PrepareLatexText(T25),"}{",PrepareLatexText(V25),"}{",PrepareLatexText(R25),"}{",PrepareLatexText(FixSun!E25),"}")</f>
        <v>\SunChapter{\nf{31}}{Mai}{Revelation}{\nf{15}}</v>
      </c>
      <c r="Y25" s="11" t="str">
        <f t="shared" si="5"/>
        <v>\SunTopic{\nf{31}}{Mai}{}{}{\nf{0}}</v>
      </c>
      <c r="Z25" s="11" t="str">
        <f>(IF(FixSun!D25=0,IF(ISBLANK('Edit Sun'!B25),"",Y25),X25))</f>
        <v>\SunChapter{\nf{31}}{Mai}{Revelation}{\nf{15}}</v>
      </c>
    </row>
    <row r="26" spans="2:26" s="2" customFormat="1" ht="15" customHeight="1" thickBot="1">
      <c r="B26" s="29" t="str">
        <f>V26</f>
        <v>Jun</v>
      </c>
      <c r="C26" s="43" t="str">
        <f t="shared" si="6"/>
        <v>7</v>
      </c>
      <c r="D26" s="270" t="s">
        <v>1056</v>
      </c>
      <c r="E26" s="268"/>
      <c r="F26" s="8"/>
      <c r="H26" s="6"/>
      <c r="I26" s="6"/>
      <c r="O26" s="39" t="str">
        <f>TransEngToBookLangA(FixSun!D26)</f>
        <v>0</v>
      </c>
      <c r="P26" s="26" t="str">
        <f>IF(AND((LangANo()="2"),NOT(ISBLANK(FixSun!B26))), FixSun!B26,TRIM(LookupTransA(LookupId(2,FixSun!B26))))</f>
        <v>Às respostas de Jesus</v>
      </c>
      <c r="Q26" s="26" t="str">
        <f>TRIM(LookupTransB(LookupId(2,FixSun!B26)))</f>
        <v>Jesus' responses</v>
      </c>
      <c r="R26" s="17" t="str">
        <f t="shared" si="3"/>
        <v>0</v>
      </c>
      <c r="S26" s="12" t="str">
        <f>TranslateRefs(FixSun!C26)</f>
        <v>Mat 16:21-23; 18:21-35; 19:13-15; 26:8-10; Mar 9:33-37; Luc 19:37-44; João 6:15; 18:10-11</v>
      </c>
      <c r="T26" s="23" t="str">
        <f>TEXT(FixSun!$A26,"d")</f>
        <v>7</v>
      </c>
      <c r="U26" s="16" t="str">
        <f>TransEngToLangA(TEXT(FixSun!$A26,"mmm"))</f>
        <v>Jun</v>
      </c>
      <c r="V26" s="22" t="str">
        <f t="shared" si="4"/>
        <v>Jun</v>
      </c>
      <c r="X26" s="11" t="str">
        <f>CONCATENATE("\SunChapter{",PrepareLatexText(T26),"}{",PrepareLatexText(V26),"}{",PrepareLatexText(R26),"}{",PrepareLatexText(FixSun!E26),"}")</f>
        <v>\SunChapter{\nf{7}}{Jun}{\nf{0}}{\nf{0}}</v>
      </c>
      <c r="Y26" s="11" t="str">
        <f t="shared" si="5"/>
        <v>\SunTopic{\nf{7}}{Jun}{\`As\ respostas\ de\ Jesus}{Jesus'\ responses}{Mat~\nf{16}:\nf{21}\nobreakrefrange \nf{23};\ \nf{18}:\nf{21}\nobreakrefrange \nf{35};\ \nf{19}:\nf{13}\nobreakrefrange \nf{15};\ \nf{26}:\nf{8}\nobreakrefrange \nf{10};\ Mar~\nf{9}:\nf{33}\nobreakrefrange \nf{37};\ Luc~\nf{19}:\nf{37}\nobreakrefrange \nf{44};\ Jo\~ao~\nf{6}:\nf{15};\ \nf{18}:\nf{10}\nobreakrefrange \nf{11}}</v>
      </c>
      <c r="Z26" s="11" t="str">
        <f>(IF(FixSun!D26=0,IF(ISBLANK('Edit Sun'!B26),"",Y26),X26))</f>
        <v>\SunTopic{\nf{7}}{Jun}{\`As\ respostas\ de\ Jesus}{Jesus'\ responses}{Mat~\nf{16}:\nf{21}\nobreakrefrange \nf{23};\ \nf{18}:\nf{21}\nobreakrefrange \nf{35};\ \nf{19}:\nf{13}\nobreakrefrange \nf{15};\ \nf{26}:\nf{8}\nobreakrefrange \nf{10};\ Mar~\nf{9}:\nf{33}\nobreakrefrange \nf{37};\ Luc~\nf{19}:\nf{37}\nobreakrefrange \nf{44};\ Jo\~ao~\nf{6}:\nf{15};\ \nf{18}:\nf{10}\nobreakrefrange \nf{11}}</v>
      </c>
    </row>
    <row r="27" spans="2:26" s="2" customFormat="1" ht="33" customHeight="1" thickBot="1">
      <c r="B27" s="30" t="s">
        <v>6</v>
      </c>
      <c r="C27" s="43" t="str">
        <f t="shared" si="6"/>
        <v>14</v>
      </c>
      <c r="D27" s="93" t="s">
        <v>270</v>
      </c>
      <c r="E27" s="171">
        <v>4</v>
      </c>
      <c r="F27" s="48"/>
      <c r="O27" s="39" t="str">
        <f>TransEngToBookLangA(FixSun!D27)</f>
        <v>Apocolipse</v>
      </c>
      <c r="P27" s="26" t="str">
        <f>IF(AND((LangANo()="2"),NOT(ISBLANK(FixSun!B27))), FixSun!B27,TRIM(LookupTransA(LookupId(2,FixSun!B27))))</f>
        <v/>
      </c>
      <c r="Q27" s="26" t="str">
        <f>TRIM(LookupTransB(LookupId(2,FixSun!B27)))</f>
        <v/>
      </c>
      <c r="R27" s="17" t="str">
        <f t="shared" si="3"/>
        <v>Apocolipse</v>
      </c>
      <c r="S27" s="12" t="str">
        <f>TranslateRefs(FixSun!C27)</f>
        <v>0</v>
      </c>
      <c r="T27" s="23" t="str">
        <f>TEXT(FixSun!$A27,"d")</f>
        <v>14</v>
      </c>
      <c r="U27" s="16" t="str">
        <f>TransEngToLangA(TEXT(FixSun!$A27,"mmm"))</f>
        <v>Jun</v>
      </c>
      <c r="V27" s="22" t="str">
        <f t="shared" si="4"/>
        <v>Jun</v>
      </c>
      <c r="X27" s="11" t="str">
        <f>CONCATENATE("\SunChapter{",PrepareLatexText(T27),"}{",PrepareLatexText(V27),"}{",PrepareLatexText(R27),"}{",PrepareLatexText(FixSun!E27),"}")</f>
        <v>\SunChapter{\nf{14}}{Jun}{Apocolipse}{\nf{16}}</v>
      </c>
      <c r="Y27" s="11" t="str">
        <f t="shared" si="5"/>
        <v>\SunTopic{\nf{14}}{Jun}{}{}{\nf{0}}</v>
      </c>
      <c r="Z27" s="11" t="str">
        <f>(IF(FixSun!D27=0,IF(ISBLANK('Edit Sun'!B27),"",Y27),X27))</f>
        <v>\SunChapter{\nf{14}}{Jun}{Apocolipse}{\nf{16}}</v>
      </c>
    </row>
    <row r="28" spans="2:26" s="2" customFormat="1" ht="15" customHeight="1" thickBot="1">
      <c r="B28" s="29" t="str">
        <f>V28</f>
        <v>Jun</v>
      </c>
      <c r="C28" s="43" t="str">
        <f t="shared" si="6"/>
        <v>21</v>
      </c>
      <c r="D28" s="95" t="s">
        <v>270</v>
      </c>
      <c r="E28" s="172">
        <v>5</v>
      </c>
      <c r="F28" s="4"/>
      <c r="O28" s="39" t="str">
        <f>TransEngToBookLangA(FixSun!D28)</f>
        <v>Apocolipse</v>
      </c>
      <c r="P28" s="26" t="str">
        <f>IF(AND((LangANo()="2"),NOT(ISBLANK(FixSun!B28))), FixSun!B28,TRIM(LookupTransA(LookupId(2,FixSun!B28))))</f>
        <v/>
      </c>
      <c r="Q28" s="26" t="str">
        <f>TRIM(LookupTransB(LookupId(2,FixSun!B28)))</f>
        <v/>
      </c>
      <c r="R28" s="17" t="str">
        <f t="shared" si="3"/>
        <v>Revelation</v>
      </c>
      <c r="S28" s="12" t="str">
        <f>TranslateRefs(FixSun!C28)</f>
        <v>0</v>
      </c>
      <c r="T28" s="23" t="str">
        <f>TEXT(FixSun!$A28,"d")</f>
        <v>21</v>
      </c>
      <c r="U28" s="16" t="str">
        <f>TransEngToLangA(TEXT(FixSun!$A28,"mmm"))</f>
        <v>Jun</v>
      </c>
      <c r="V28" s="22" t="str">
        <f t="shared" si="4"/>
        <v>Jun</v>
      </c>
      <c r="X28" s="11" t="str">
        <f>CONCATENATE("\SunChapter{",PrepareLatexText(T28),"}{",PrepareLatexText(V28),"}{",PrepareLatexText(R28),"}{",PrepareLatexText(FixSun!E28),"}")</f>
        <v>\SunChapter{\nf{21}}{Jun}{Revelation}{\nf{17}}</v>
      </c>
      <c r="Y28" s="11" t="str">
        <f t="shared" si="5"/>
        <v>\SunTopic{\nf{21}}{Jun}{}{}{\nf{0}}</v>
      </c>
      <c r="Z28" s="11" t="str">
        <f>(IF(FixSun!D28=0,IF(ISBLANK('Edit Sun'!B28),"",Y28),X28))</f>
        <v>\SunChapter{\nf{21}}{Jun}{Revelation}{\nf{17}}</v>
      </c>
    </row>
    <row r="29" spans="2:26" s="2" customFormat="1" ht="15.9" customHeight="1" thickBot="1">
      <c r="B29" s="31" t="str">
        <f>V29</f>
        <v>Jun</v>
      </c>
      <c r="C29" s="44" t="str">
        <f t="shared" si="6"/>
        <v>28</v>
      </c>
      <c r="D29" s="269" t="s">
        <v>1057</v>
      </c>
      <c r="E29" s="268"/>
      <c r="F29" s="8"/>
      <c r="O29" s="39" t="str">
        <f>TransEngToBookLangA(FixSun!D29)</f>
        <v>0</v>
      </c>
      <c r="P29" s="26" t="str">
        <f>IF(AND((LangANo()="2"),NOT(ISBLANK(FixSun!B29))), FixSun!B29,TRIM(LookupTransA(LookupId(2,FixSun!B29))))</f>
        <v>Cristo abnegou-se por amor</v>
      </c>
      <c r="Q29" s="26" t="str">
        <f>TRIM(LookupTransB(LookupId(2,FixSun!B29)))</f>
        <v>Christ's self-sacrificing love</v>
      </c>
      <c r="R29" s="17" t="str">
        <f t="shared" si="3"/>
        <v>0</v>
      </c>
      <c r="S29" s="12" t="str">
        <f>TranslateRefs(FixSun!C29)</f>
        <v>Luc 19:10; 22:27; João 3:13-16; 6:51-58; 13:1-5; 15:13; 17:6-10; Flp 2:5-8; Heb 2:9-10</v>
      </c>
      <c r="T29" s="23" t="str">
        <f>TEXT(FixSun!$A29,"d")</f>
        <v>28</v>
      </c>
      <c r="U29" s="16" t="str">
        <f>TransEngToLangA(TEXT(FixSun!$A29,"mmm"))</f>
        <v>Jun</v>
      </c>
      <c r="V29" s="22" t="str">
        <f t="shared" si="4"/>
        <v>Jun</v>
      </c>
      <c r="X29" s="11" t="str">
        <f>CONCATENATE("\SunChapter{",PrepareLatexText(T29),"}{",PrepareLatexText(V29),"}{",PrepareLatexText(R29),"}{",PrepareLatexText(FixSun!E29),"}")</f>
        <v>\SunChapter{\nf{28}}{Jun}{\nf{0}}{\nf{0}}</v>
      </c>
      <c r="Y29" s="11" t="str">
        <f t="shared" si="5"/>
        <v>\SunTopic{\nf{28}}{Jun}{Cristo\ abnegou\textendash se\ por\ amor}{Christ's\ self\textendash sacrificing\ love}{Luc~\nf{19}:\nf{10};\ \nf{22}:\nf{27};\ Jo\~ao~\nf{3}:\nf{13}\nobreakrefrange \nf{16};\ \nf{6}:\nf{51}\nobreakrefrange \nf{58};\ \nf{13}:\nf{1}\nobreakrefrange \nf{5};\ \nf{15}:\nf{13};\ \nf{17}:\nf{6}\nobreakrefrange \nf{10};\ Flp~\nf{2}:\nf{5}\nobreakrefrange \nf{8};\ Heb~\nf{2}:\nf{9}\nobreakrefrange \nf{10}}</v>
      </c>
      <c r="Z29" s="11" t="str">
        <f>(IF(FixSun!D29=0,IF(ISBLANK('Edit Sun'!B29),"",Y29),X29))</f>
        <v>\SunTopic{\nf{28}}{Jun}{Cristo\ abnegou\textendash se\ por\ amor}{Christ's\ self\textendash sacrificing\ love}{Luc~\nf{19}:\nf{10};\ \nf{22}:\nf{27};\ Jo\~ao~\nf{3}:\nf{13}\nobreakrefrange \nf{16};\ \nf{6}:\nf{51}\nobreakrefrange \nf{58};\ \nf{13}:\nf{1}\nobreakrefrange \nf{5};\ \nf{15}:\nf{13};\ \nf{17}:\nf{6}\nobreakrefrange \nf{10};\ Flp~\nf{2}:\nf{5}\nobreakrefrange \nf{8};\ Heb~\nf{2}:\nf{9}\nobreakrefrange \nf{10}}</v>
      </c>
    </row>
    <row r="30" spans="2:26" thickBot="1">
      <c r="B30" s="31" t="str">
        <f>V30</f>
        <v/>
      </c>
      <c r="C30" s="44" t="str">
        <f>T30</f>
        <v/>
      </c>
      <c r="D30" s="93"/>
      <c r="E30" s="171"/>
      <c r="F30" s="8"/>
      <c r="G30" s="2"/>
      <c r="H30" s="2"/>
      <c r="J30" s="2"/>
      <c r="K30" s="2"/>
      <c r="L30" s="2"/>
      <c r="M30" s="2"/>
      <c r="N30" s="2"/>
      <c r="O30" s="39" t="str">
        <f>TransEngToBookLangA(FixSun!D30)</f>
        <v>0</v>
      </c>
      <c r="P30" s="26" t="str">
        <f>IF(AND((LangANo()="2"),NOT(ISBLANK(FixSun!B30))), FixSun!B30,TRIM(LookupTransA(LookupId(2,FixSun!B30))))</f>
        <v/>
      </c>
      <c r="Q30" s="26" t="str">
        <f>TRIM(LookupTransB(LookupId(2,FixSun!B30)))</f>
        <v/>
      </c>
      <c r="R30" s="17" t="str">
        <f t="shared" si="3"/>
        <v>0</v>
      </c>
      <c r="S30" s="12" t="str">
        <f>TranslateRefs(FixSun!C30)</f>
        <v>0</v>
      </c>
      <c r="T30" s="23" t="str">
        <f>TEXT(FixSun!$A30,"d")</f>
        <v/>
      </c>
      <c r="U30" s="16" t="str">
        <f>TransEngToLangA(TEXT(FixSun!$A30,"mmm"))</f>
        <v/>
      </c>
      <c r="V30" s="22" t="str">
        <f t="shared" si="4"/>
        <v/>
      </c>
      <c r="X30" s="11" t="str">
        <f>CONCATENATE("\SunChapter{",PrepareLatexText(T30),"}{",PrepareLatexText(V30),"}{",PrepareLatexText(R30),"}{",PrepareLatexText(FixSun!E30),"}")</f>
        <v>\SunChapter{}{}{\nf{0}}{\nf{0}}</v>
      </c>
      <c r="Y30" s="11" t="str">
        <f t="shared" si="5"/>
        <v>\SunTopic{}{}{}{}{\nf{0}}</v>
      </c>
      <c r="Z30" s="11" t="str">
        <f>(IF(FixSun!D30=0,IF(ISBLANK('Edit Sun'!B30),"",Y30),X30))</f>
        <v/>
      </c>
    </row>
    <row r="31" spans="2:26" ht="16" thickBot="1">
      <c r="D31" s="36"/>
      <c r="O31" s="39" t="str">
        <f>TransEngToBookLangA(FixSun!D31)</f>
        <v>0</v>
      </c>
      <c r="P31" s="26" t="str">
        <f>IF(AND((LangANo()="2"),NOT(ISBLANK(FixSun!B31))), FixSun!B31,TRIM(LookupTransA(LookupId(2,FixSun!B31))))</f>
        <v/>
      </c>
      <c r="Q31" s="26" t="str">
        <f>TRIM(LookupTransB(LookupId(2,FixSun!B31)))</f>
        <v/>
      </c>
      <c r="R31" s="17" t="str">
        <f t="shared" ref="R31:R60" si="7">CalcAltTransBook(O31,R30)</f>
        <v>0</v>
      </c>
      <c r="S31" s="12" t="str">
        <f>TranslateRefs(FixSun!C31)</f>
        <v>0</v>
      </c>
      <c r="T31" s="23" t="str">
        <f>TEXT(FixSun!$A31,"d")</f>
        <v>0</v>
      </c>
      <c r="U31" s="16" t="str">
        <f>TransEngToLangA(TEXT(FixSun!$A31,"mmm"))</f>
        <v>Jan</v>
      </c>
      <c r="V31" s="22" t="str">
        <f t="shared" ref="V31:V60" si="8">CalcAltTrans(U31,V30)</f>
        <v>Jan</v>
      </c>
      <c r="X31" s="11" t="str">
        <f>CONCATENATE("\SunChapter{",PrepareLatexText(T31),"}{",PrepareLatexText(V31),"}{",PrepareLatexText(R31),"}{",PrepareLatexText(FixSun!E31),"}")</f>
        <v>\SunChapter{\nf{0}}{Jan}{\nf{0}}{\nf{0}}</v>
      </c>
      <c r="Y31" s="11" t="str">
        <f t="shared" ref="Y31:Y60" si="9">CONCATENATE("\SunTopic{",PrepareLatexText(T31),"}{",PrepareLatexText(V31),"}{",PrepareLatexText(P31),"}{",PrepareLatexText(Q31),"}{",ReferenceLatexText(S31),"}")</f>
        <v>\SunTopic{\nf{0}}{Jan}{}{}{\nf{0}}</v>
      </c>
      <c r="Z31" s="11" t="str">
        <f>(IF(FixSun!D31=0,IF(ISBLANK('Edit Sun'!B31),"",Y31),X31))</f>
        <v/>
      </c>
    </row>
    <row r="32" spans="2:26" ht="53.4" customHeight="1" thickBot="1">
      <c r="B32" s="260" t="str">
        <f>CONCATENATE("Southern Africa ",'Edit Translations'!B$12,"Preview")</f>
        <v>Southern Africa 2026Preview</v>
      </c>
      <c r="C32" s="261"/>
      <c r="D32" s="261"/>
      <c r="E32" s="262"/>
      <c r="F32" s="3"/>
      <c r="O32" s="39" t="str">
        <f>TransEngToBookLangA(FixSun!D32)</f>
        <v>0</v>
      </c>
      <c r="P32" s="26" t="str">
        <f>IF(AND((LangANo()="2"),NOT(ISBLANK(FixSun!B32))), FixSun!B32,TRIM(LookupTransA(LookupId(2,FixSun!B32))))</f>
        <v/>
      </c>
      <c r="Q32" s="26" t="str">
        <f>TRIM(LookupTransB(LookupId(2,FixSun!B32)))</f>
        <v/>
      </c>
      <c r="R32" s="17" t="str">
        <f t="shared" si="7"/>
        <v>0</v>
      </c>
      <c r="S32" s="12" t="str">
        <f>TranslateRefs(FixSun!C32)</f>
        <v>0</v>
      </c>
      <c r="T32" s="23" t="str">
        <f>TEXT(FixSun!$A32,"d")</f>
        <v>0</v>
      </c>
      <c r="U32" s="16" t="str">
        <f>TransEngToLangA(TEXT(FixSun!$A32,"mmm"))</f>
        <v>Jan</v>
      </c>
      <c r="V32" s="22" t="str">
        <f t="shared" si="8"/>
        <v>Jan</v>
      </c>
      <c r="X32" s="11" t="str">
        <f>CONCATENATE("\SunChapter{",PrepareLatexText(T32),"}{",PrepareLatexText(V32),"}{",PrepareLatexText(R32),"}{",PrepareLatexText(FixSun!E32),"}")</f>
        <v>\SunChapter{\nf{0}}{Jan}{\nf{0}}{\nf{0}}</v>
      </c>
      <c r="Y32" s="11" t="str">
        <f t="shared" si="9"/>
        <v>\SunTopic{\nf{0}}{Jan}{}{}{\nf{0}}</v>
      </c>
      <c r="Z32" s="11" t="str">
        <f>(IF(FixSun!D32=0,IF(ISBLANK('Edit Sun'!B32),"",Y32),X32))</f>
        <v/>
      </c>
    </row>
    <row r="33" spans="2:26" ht="16.5" customHeight="1" thickBot="1">
      <c r="B33" s="263" t="s">
        <v>14</v>
      </c>
      <c r="C33" s="264"/>
      <c r="D33" s="265"/>
      <c r="E33" s="266"/>
      <c r="F33" s="3"/>
      <c r="O33" s="39" t="str">
        <f>TransEngToBookLangA(FixSun!D33)</f>
        <v>0</v>
      </c>
      <c r="P33" s="26" t="str">
        <f>IF(AND((LangANo()="2"),NOT(ISBLANK(FixSun!B33))), FixSun!B33,TRIM(LookupTransA(LookupId(2,FixSun!B33))))</f>
        <v/>
      </c>
      <c r="Q33" s="26" t="str">
        <f>TRIM(LookupTransB(LookupId(2,FixSun!B33)))</f>
        <v/>
      </c>
      <c r="R33" s="17" t="str">
        <f t="shared" si="7"/>
        <v>0</v>
      </c>
      <c r="S33" s="12" t="str">
        <f>TranslateRefs(FixSun!C33)</f>
        <v>0</v>
      </c>
      <c r="T33" s="23" t="str">
        <f>TEXT(FixSun!$A33,"d")</f>
        <v>0</v>
      </c>
      <c r="U33" s="16" t="str">
        <f>TransEngToLangA(TEXT(FixSun!$A33,"mmm"))</f>
        <v>Jan</v>
      </c>
      <c r="V33" s="22" t="str">
        <f t="shared" si="8"/>
        <v>Jan</v>
      </c>
      <c r="X33" s="11" t="str">
        <f>CONCATENATE("\SunChapter{",PrepareLatexText(T33),"}{",PrepareLatexText(V33),"}{",PrepareLatexText(R33),"}{",PrepareLatexText(FixSun!E33),"}")</f>
        <v>\SunChapter{\nf{0}}{Jan}{\nf{0}}{\nf{0}}</v>
      </c>
      <c r="Y33" s="11" t="str">
        <f t="shared" si="9"/>
        <v>\SunTopic{\nf{0}}{Jan}{}{}{\nf{0}}</v>
      </c>
      <c r="Z33" s="11" t="str">
        <f>(IF(FixSun!D33=0,IF(ISBLANK('Edit Sun'!B33),"",Y33),X33))</f>
        <v/>
      </c>
    </row>
    <row r="34" spans="2:26" ht="30.9" customHeight="1" thickBot="1">
      <c r="B34" s="29" t="str">
        <f t="shared" ref="B34:B58" si="10">V34</f>
        <v>Jul</v>
      </c>
      <c r="C34" s="43" t="str">
        <f t="shared" ref="C34:C58" si="11">T34</f>
        <v>5</v>
      </c>
      <c r="D34" s="47" t="s">
        <v>270</v>
      </c>
      <c r="E34" s="171">
        <v>6</v>
      </c>
      <c r="F34" s="8"/>
      <c r="G34" s="2"/>
      <c r="H34" s="6"/>
      <c r="I34" s="6"/>
      <c r="O34" s="39" t="str">
        <f>TransEngToBookLangA(FixSun!D34)</f>
        <v>Apocolipse</v>
      </c>
      <c r="P34" s="26" t="str">
        <f>IF(AND((LangANo()="2"),NOT(ISBLANK(FixSun!B34))), FixSun!B34,TRIM(LookupTransA(LookupId(2,FixSun!B34))))</f>
        <v/>
      </c>
      <c r="Q34" s="26" t="str">
        <f>TRIM(LookupTransB(LookupId(2,FixSun!B34)))</f>
        <v/>
      </c>
      <c r="R34" s="17" t="str">
        <f t="shared" si="7"/>
        <v>Apocolipse</v>
      </c>
      <c r="S34" s="12" t="str">
        <f>TranslateRefs(FixSun!C34)</f>
        <v>0</v>
      </c>
      <c r="T34" s="23" t="str">
        <f>TEXT(FixSun!$A34,"d")</f>
        <v>5</v>
      </c>
      <c r="U34" s="16" t="str">
        <f>TransEngToLangA(TEXT(FixSun!$A34,"mmm"))</f>
        <v>Jul</v>
      </c>
      <c r="V34" s="22" t="str">
        <f t="shared" si="8"/>
        <v>Jul</v>
      </c>
      <c r="X34" s="11" t="str">
        <f>CONCATENATE("\SunChapter{",PrepareLatexText(T34),"}{",PrepareLatexText(V34),"}{",PrepareLatexText(R34),"}{",PrepareLatexText(FixSun!E34),"}")</f>
        <v>\SunChapter{\nf{5}}{Jul}{Apocolipse}{\nf{18}}</v>
      </c>
      <c r="Y34" s="11" t="str">
        <f t="shared" si="9"/>
        <v>\SunTopic{\nf{5}}{Jul}{}{}{\nf{0}}</v>
      </c>
      <c r="Z34" s="11" t="str">
        <f>(IF(FixSun!D34=0,IF(ISBLANK('Edit Sun'!B34),"",Y34),X34))</f>
        <v>\SunChapter{\nf{5}}{Jul}{Apocolipse}{\nf{18}}</v>
      </c>
    </row>
    <row r="35" spans="2:26" ht="15.9" customHeight="1" thickBot="1">
      <c r="B35" s="29" t="str">
        <f t="shared" si="10"/>
        <v>Jul</v>
      </c>
      <c r="C35" s="43" t="str">
        <f t="shared" si="11"/>
        <v>12</v>
      </c>
      <c r="D35" s="92" t="s">
        <v>270</v>
      </c>
      <c r="E35" s="172">
        <v>7</v>
      </c>
      <c r="F35" s="8"/>
      <c r="O35" s="39" t="str">
        <f>TransEngToBookLangA(FixSun!D35)</f>
        <v>Apocolipse</v>
      </c>
      <c r="P35" s="26" t="str">
        <f>IF(AND((LangANo()="2"),NOT(ISBLANK(FixSun!B35))), FixSun!B35,TRIM(LookupTransA(LookupId(2,FixSun!B35))))</f>
        <v/>
      </c>
      <c r="Q35" s="26" t="str">
        <f>TRIM(LookupTransB(LookupId(2,FixSun!B35)))</f>
        <v/>
      </c>
      <c r="R35" s="17" t="str">
        <f t="shared" si="7"/>
        <v>Revelation</v>
      </c>
      <c r="S35" s="12" t="str">
        <f>TranslateRefs(FixSun!C35)</f>
        <v>0</v>
      </c>
      <c r="T35" s="23" t="str">
        <f>TEXT(FixSun!$A35,"d")</f>
        <v>12</v>
      </c>
      <c r="U35" s="16" t="str">
        <f>TransEngToLangA(TEXT(FixSun!$A35,"mmm"))</f>
        <v>Jul</v>
      </c>
      <c r="V35" s="22" t="str">
        <f t="shared" si="8"/>
        <v>Jul</v>
      </c>
      <c r="X35" s="11" t="str">
        <f>CONCATENATE("\SunChapter{",PrepareLatexText(T35),"}{",PrepareLatexText(V35),"}{",PrepareLatexText(R35),"}{",PrepareLatexText(FixSun!E35),"}")</f>
        <v>\SunChapter{\nf{12}}{Jul}{Revelation}{\nf{19}}</v>
      </c>
      <c r="Y35" s="11" t="str">
        <f t="shared" si="9"/>
        <v>\SunTopic{\nf{12}}{Jul}{}{}{\nf{0}}</v>
      </c>
      <c r="Z35" s="11" t="str">
        <f>(IF(FixSun!D35=0,IF(ISBLANK('Edit Sun'!B35),"",Y35),X35))</f>
        <v>\SunChapter{\nf{12}}{Jul}{Revelation}{\nf{19}}</v>
      </c>
    </row>
    <row r="36" spans="2:26" ht="16" thickBot="1">
      <c r="B36" s="29" t="str">
        <f t="shared" si="10"/>
        <v>Jul</v>
      </c>
      <c r="C36" s="43" t="str">
        <f t="shared" si="11"/>
        <v>19</v>
      </c>
      <c r="D36" s="269" t="s">
        <v>1058</v>
      </c>
      <c r="E36" s="268"/>
      <c r="F36" s="8"/>
      <c r="O36" s="39" t="str">
        <f>TransEngToBookLangA(FixSun!D36)</f>
        <v>0</v>
      </c>
      <c r="P36" s="26" t="str">
        <f>IF(AND((LangANo()="2"),NOT(ISBLANK(FixSun!B36))), FixSun!B36,TRIM(LookupTransA(LookupId(2,FixSun!B36))))</f>
        <v>Firmeza na incerteza</v>
      </c>
      <c r="Q36" s="26" t="str">
        <f>TRIM(LookupTransB(LookupId(2,FixSun!B36)))</f>
        <v>Stability in unsettling times</v>
      </c>
      <c r="R36" s="17" t="str">
        <f t="shared" si="7"/>
        <v>0</v>
      </c>
      <c r="S36" s="12" t="str">
        <f>TranslateRefs(FixSun!C36)</f>
        <v>Job 34:29; João 14:1,27; 16:20-22, 33; Rom 8:38,39; 1Cor 15:58; Efé 3:16-21; Flp 4:7,8; 1Ped 5:10</v>
      </c>
      <c r="T36" s="23" t="str">
        <f>TEXT(FixSun!$A36,"d")</f>
        <v>19</v>
      </c>
      <c r="U36" s="16" t="str">
        <f>TransEngToLangA(TEXT(FixSun!$A36,"mmm"))</f>
        <v>Jul</v>
      </c>
      <c r="V36" s="22" t="str">
        <f t="shared" si="8"/>
        <v>Jul</v>
      </c>
      <c r="X36" s="11" t="str">
        <f>CONCATENATE("\SunChapter{",PrepareLatexText(T36),"}{",PrepareLatexText(V36),"}{",PrepareLatexText(R36),"}{",PrepareLatexText(FixSun!E36),"}")</f>
        <v>\SunChapter{\nf{19}}{Jul}{\nf{0}}{\nf{0}}</v>
      </c>
      <c r="Y36" s="11" t="str">
        <f t="shared" si="9"/>
        <v>\SunTopic{\nf{19}}{Jul}{Firmeza\ na\ incerteza}{Stability\ in\ unsettling\ times}{Job~\nf{34}:\nf{29};\ Jo\~ao~\nf{14}:\nf{1},\nf{27};\ \nf{16}:\nf{20}\nobreakrefrange \nf{22},~\nf{33};\ Rom~\nf{8}:\nf{38},\nf{39};\ \nf{1}Cor~\nf{15}:\nf{58};\ Ef\'e~\nf{3}:\nf{16}\nobreakrefrange \nf{21};\ Flp~\nf{4}:\nf{7},\nf{8};\ \nf{1}Ped \nf{5}:\nf{10}}</v>
      </c>
      <c r="Z36" s="11" t="str">
        <f>(IF(FixSun!D36=0,IF(ISBLANK('Edit Sun'!B36),"",Y36),X36))</f>
        <v>\SunTopic{\nf{19}}{Jul}{Firmeza\ na\ incerteza}{Stability\ in\ unsettling\ times}{Job~\nf{34}:\nf{29};\ Jo\~ao~\nf{14}:\nf{1},\nf{27};\ \nf{16}:\nf{20}\nobreakrefrange \nf{22},~\nf{33};\ Rom~\nf{8}:\nf{38},\nf{39};\ \nf{1}Cor~\nf{15}:\nf{58};\ Ef\'e~\nf{3}:\nf{16}\nobreakrefrange \nf{21};\ Flp~\nf{4}:\nf{7},\nf{8};\ \nf{1}Ped \nf{5}:\nf{10}}</v>
      </c>
    </row>
    <row r="37" spans="2:26" ht="37.5" customHeight="1" thickBot="1">
      <c r="B37" s="29" t="str">
        <f t="shared" si="10"/>
        <v>Jul</v>
      </c>
      <c r="C37" s="43" t="str">
        <f t="shared" si="11"/>
        <v>26</v>
      </c>
      <c r="D37" s="93" t="s">
        <v>270</v>
      </c>
      <c r="E37" s="171">
        <v>8</v>
      </c>
      <c r="F37" s="8"/>
      <c r="O37" s="39" t="str">
        <f>TransEngToBookLangA(FixSun!D37)</f>
        <v>Apocolipse</v>
      </c>
      <c r="P37" s="26" t="str">
        <f>IF(AND((LangANo()="2"),NOT(ISBLANK(FixSun!B37))), FixSun!B37,TRIM(LookupTransA(LookupId(2,FixSun!B37))))</f>
        <v/>
      </c>
      <c r="Q37" s="26" t="str">
        <f>TRIM(LookupTransB(LookupId(2,FixSun!B37)))</f>
        <v/>
      </c>
      <c r="R37" s="17" t="str">
        <f t="shared" si="7"/>
        <v>Apocolipse</v>
      </c>
      <c r="S37" s="12" t="str">
        <f>TranslateRefs(FixSun!C37)</f>
        <v>0</v>
      </c>
      <c r="T37" s="23" t="str">
        <f>TEXT(FixSun!$A37,"d")</f>
        <v>26</v>
      </c>
      <c r="U37" s="16" t="str">
        <f>TransEngToLangA(TEXT(FixSun!$A37,"mmm"))</f>
        <v>Jul</v>
      </c>
      <c r="V37" s="22" t="str">
        <f t="shared" si="8"/>
        <v>Jul</v>
      </c>
      <c r="X37" s="11" t="str">
        <f>CONCATENATE("\SunChapter{",PrepareLatexText(T37),"}{",PrepareLatexText(V37),"}{",PrepareLatexText(R37),"}{",PrepareLatexText(FixSun!E37),"}")</f>
        <v>\SunChapter{\nf{26}}{Jul}{Apocolipse}{\nf{20}}</v>
      </c>
      <c r="Y37" s="11" t="str">
        <f t="shared" si="9"/>
        <v>\SunTopic{\nf{26}}{Jul}{}{}{\nf{0}}</v>
      </c>
      <c r="Z37" s="11" t="str">
        <f>(IF(FixSun!D37=0,IF(ISBLANK('Edit Sun'!B37),"",Y37),X37))</f>
        <v>\SunChapter{\nf{26}}{Jul}{Apocolipse}{\nf{20}}</v>
      </c>
    </row>
    <row r="38" spans="2:26" ht="15.9" customHeight="1" thickBot="1">
      <c r="B38" s="29" t="str">
        <f t="shared" si="10"/>
        <v>Ago</v>
      </c>
      <c r="C38" s="43" t="str">
        <f t="shared" si="11"/>
        <v>2</v>
      </c>
      <c r="D38" s="93" t="s">
        <v>270</v>
      </c>
      <c r="E38" s="171">
        <v>9</v>
      </c>
      <c r="F38" s="7"/>
      <c r="G38" s="2"/>
      <c r="H38" s="6"/>
      <c r="I38" s="6"/>
      <c r="O38" s="39" t="str">
        <f>TransEngToBookLangA(FixSun!D38)</f>
        <v>Apocolipse</v>
      </c>
      <c r="P38" s="26" t="str">
        <f>IF(AND((LangANo()="2"),NOT(ISBLANK(FixSun!B38))), FixSun!B38,TRIM(LookupTransA(LookupId(2,FixSun!B38))))</f>
        <v/>
      </c>
      <c r="Q38" s="26" t="str">
        <f>TRIM(LookupTransB(LookupId(2,FixSun!B38)))</f>
        <v/>
      </c>
      <c r="R38" s="17" t="str">
        <f t="shared" si="7"/>
        <v>Revelation</v>
      </c>
      <c r="S38" s="12" t="str">
        <f>TranslateRefs(FixSun!C38)</f>
        <v>0</v>
      </c>
      <c r="T38" s="23" t="str">
        <f>TEXT(FixSun!$A38,"d")</f>
        <v>2</v>
      </c>
      <c r="U38" s="16" t="str">
        <f>TransEngToLangA(TEXT(FixSun!$A38,"mmm"))</f>
        <v>Ago</v>
      </c>
      <c r="V38" s="22" t="str">
        <f t="shared" si="8"/>
        <v>Ago</v>
      </c>
      <c r="X38" s="11" t="str">
        <f>CONCATENATE("\SunChapter{",PrepareLatexText(T38),"}{",PrepareLatexText(V38),"}{",PrepareLatexText(R38),"}{",PrepareLatexText(FixSun!E38),"}")</f>
        <v>\SunChapter{\nf{2}}{Ago}{Revelation}{\nf{21}}</v>
      </c>
      <c r="Y38" s="11" t="str">
        <f t="shared" si="9"/>
        <v>\SunTopic{\nf{2}}{Ago}{}{}{\nf{0}}</v>
      </c>
      <c r="Z38" s="11" t="str">
        <f>(IF(FixSun!D38=0,IF(ISBLANK('Edit Sun'!B38),"",Y38),X38))</f>
        <v>\SunChapter{\nf{2}}{Ago}{Revelation}{\nf{21}}</v>
      </c>
    </row>
    <row r="39" spans="2:26" ht="16" thickBot="1">
      <c r="B39" s="29" t="str">
        <f t="shared" si="10"/>
        <v>Aug</v>
      </c>
      <c r="C39" s="43" t="str">
        <f t="shared" si="11"/>
        <v>9</v>
      </c>
      <c r="D39" s="47" t="s">
        <v>270</v>
      </c>
      <c r="E39" s="171">
        <v>10</v>
      </c>
      <c r="F39" s="48"/>
      <c r="O39" s="39" t="str">
        <f>TransEngToBookLangA(FixSun!D39)</f>
        <v>Apocolipse</v>
      </c>
      <c r="P39" s="26" t="str">
        <f>IF(AND((LangANo()="2"),NOT(ISBLANK(FixSun!B39))), FixSun!B39,TRIM(LookupTransA(LookupId(2,FixSun!B39))))</f>
        <v/>
      </c>
      <c r="Q39" s="26" t="str">
        <f>TRIM(LookupTransB(LookupId(2,FixSun!B39)))</f>
        <v/>
      </c>
      <c r="R39" s="17" t="str">
        <f t="shared" si="7"/>
        <v>Apocolipse</v>
      </c>
      <c r="S39" s="12" t="str">
        <f>TranslateRefs(FixSun!C39)</f>
        <v>0</v>
      </c>
      <c r="T39" s="23" t="str">
        <f>TEXT(FixSun!$A39,"d")</f>
        <v>9</v>
      </c>
      <c r="U39" s="16" t="str">
        <f>TransEngToLangA(TEXT(FixSun!$A39,"mmm"))</f>
        <v>Ago</v>
      </c>
      <c r="V39" s="22" t="str">
        <f t="shared" si="8"/>
        <v>Aug</v>
      </c>
      <c r="X39" s="11" t="str">
        <f>CONCATENATE("\SunChapter{",PrepareLatexText(T39),"}{",PrepareLatexText(V39),"}{",PrepareLatexText(R39),"}{",PrepareLatexText(FixSun!E39),"}")</f>
        <v>\SunChapter{\nf{9}}{Aug}{Apocolipse}{\nf{22}}</v>
      </c>
      <c r="Y39" s="11" t="str">
        <f t="shared" si="9"/>
        <v>\SunTopic{\nf{9}}{Aug}{}{}{\nf{0}}</v>
      </c>
      <c r="Z39" s="11" t="str">
        <f>(IF(FixSun!D39=0,IF(ISBLANK('Edit Sun'!B39),"",Y39),X39))</f>
        <v>\SunChapter{\nf{9}}{Aug}{Apocolipse}{\nf{22}}</v>
      </c>
    </row>
    <row r="40" spans="2:26" ht="16" thickBot="1">
      <c r="B40" s="29" t="str">
        <f t="shared" si="10"/>
        <v>Ago</v>
      </c>
      <c r="C40" s="43" t="str">
        <f t="shared" si="11"/>
        <v>16</v>
      </c>
      <c r="D40" s="93" t="s">
        <v>270</v>
      </c>
      <c r="E40" s="171">
        <v>11</v>
      </c>
      <c r="F40" s="8"/>
      <c r="O40" s="39" t="str">
        <f>TransEngToBookLangA(FixSun!D40)</f>
        <v>Mateus</v>
      </c>
      <c r="P40" s="26" t="str">
        <f>IF(AND((LangANo()="2"),NOT(ISBLANK(FixSun!B40))), FixSun!B40,TRIM(LookupTransA(LookupId(2,FixSun!B40))))</f>
        <v/>
      </c>
      <c r="Q40" s="26" t="str">
        <f>TRIM(LookupTransB(LookupId(2,FixSun!B40)))</f>
        <v/>
      </c>
      <c r="R40" s="17" t="str">
        <f t="shared" si="7"/>
        <v>Mateus</v>
      </c>
      <c r="S40" s="12" t="str">
        <f>TranslateRefs(FixSun!C40)</f>
        <v>0</v>
      </c>
      <c r="T40" s="23" t="str">
        <f>TEXT(FixSun!$A40,"d")</f>
        <v>16</v>
      </c>
      <c r="U40" s="16" t="str">
        <f>TransEngToLangA(TEXT(FixSun!$A40,"mmm"))</f>
        <v>Ago</v>
      </c>
      <c r="V40" s="22" t="str">
        <f t="shared" si="8"/>
        <v>Ago</v>
      </c>
      <c r="X40" s="11" t="str">
        <f>CONCATENATE("\SunChapter{",PrepareLatexText(T40),"}{",PrepareLatexText(V40),"}{",PrepareLatexText(R40),"}{",PrepareLatexText(FixSun!E40),"}")</f>
        <v>\SunChapter{\nf{16}}{Ago}{Mateus}{\nf{1}\ \&amp;\ \nf{2}}</v>
      </c>
      <c r="Y40" s="11" t="str">
        <f t="shared" si="9"/>
        <v>\SunTopic{\nf{16}}{Ago}{}{}{\nf{0}}</v>
      </c>
      <c r="Z40" s="11" t="str">
        <f>(IF(FixSun!D40=0,IF(ISBLANK('Edit Sun'!B40),"",Y40),X40))</f>
        <v>\SunChapter{\nf{16}}{Ago}{Mateus}{\nf{1}\ \&amp;\ \nf{2}}</v>
      </c>
    </row>
    <row r="41" spans="2:26" ht="16" thickBot="1">
      <c r="B41" s="29" t="str">
        <f t="shared" si="10"/>
        <v>Aug</v>
      </c>
      <c r="C41" s="43" t="str">
        <f t="shared" si="11"/>
        <v>23</v>
      </c>
      <c r="D41" s="93" t="s">
        <v>270</v>
      </c>
      <c r="E41" s="171">
        <v>12</v>
      </c>
      <c r="F41" s="8"/>
      <c r="O41" s="39" t="str">
        <f>TransEngToBookLangA(FixSun!D41)</f>
        <v>Mateus</v>
      </c>
      <c r="P41" s="26" t="str">
        <f>IF(AND((LangANo()="2"),NOT(ISBLANK(FixSun!B41))), FixSun!B41,TRIM(LookupTransA(LookupId(2,FixSun!B41))))</f>
        <v/>
      </c>
      <c r="Q41" s="26" t="str">
        <f>TRIM(LookupTransB(LookupId(2,FixSun!B41)))</f>
        <v/>
      </c>
      <c r="R41" s="17" t="str">
        <f t="shared" si="7"/>
        <v>Matthew</v>
      </c>
      <c r="S41" s="12" t="str">
        <f>TranslateRefs(FixSun!C41)</f>
        <v>0</v>
      </c>
      <c r="T41" s="23" t="str">
        <f>TEXT(FixSun!$A41,"d")</f>
        <v>23</v>
      </c>
      <c r="U41" s="16" t="str">
        <f>TransEngToLangA(TEXT(FixSun!$A41,"mmm"))</f>
        <v>Ago</v>
      </c>
      <c r="V41" s="22" t="str">
        <f t="shared" si="8"/>
        <v>Aug</v>
      </c>
      <c r="X41" s="11" t="str">
        <f>CONCATENATE("\SunChapter{",PrepareLatexText(T41),"}{",PrepareLatexText(V41),"}{",PrepareLatexText(R41),"}{",PrepareLatexText(FixSun!E41),"}")</f>
        <v>\SunChapter{\nf{23}}{Aug}{Matthew}{\nf{3}}</v>
      </c>
      <c r="Y41" s="11" t="str">
        <f t="shared" si="9"/>
        <v>\SunTopic{\nf{23}}{Aug}{}{}{\nf{0}}</v>
      </c>
      <c r="Z41" s="11" t="str">
        <f>(IF(FixSun!D41=0,IF(ISBLANK('Edit Sun'!B41),"",Y41),X41))</f>
        <v>\SunChapter{\nf{23}}{Aug}{Matthew}{\nf{3}}</v>
      </c>
    </row>
    <row r="42" spans="2:26" ht="16" thickBot="1">
      <c r="B42" s="29" t="str">
        <f t="shared" si="10"/>
        <v>Ago</v>
      </c>
      <c r="C42" s="43" t="str">
        <f t="shared" si="11"/>
        <v>30</v>
      </c>
      <c r="D42" s="93" t="s">
        <v>270</v>
      </c>
      <c r="E42" s="171">
        <v>13</v>
      </c>
      <c r="F42" s="8"/>
      <c r="O42" s="39" t="str">
        <f>TransEngToBookLangA(FixSun!D42)</f>
        <v>Mateus</v>
      </c>
      <c r="P42" s="26" t="str">
        <f>IF(AND((LangANo()="2"),NOT(ISBLANK(FixSun!B42))), FixSun!B42,TRIM(LookupTransA(LookupId(2,FixSun!B42))))</f>
        <v/>
      </c>
      <c r="Q42" s="26" t="str">
        <f>TRIM(LookupTransB(LookupId(2,FixSun!B42)))</f>
        <v/>
      </c>
      <c r="R42" s="17" t="str">
        <f t="shared" si="7"/>
        <v>Mateus</v>
      </c>
      <c r="S42" s="12" t="str">
        <f>TranslateRefs(FixSun!C42)</f>
        <v>0</v>
      </c>
      <c r="T42" s="23" t="str">
        <f>TEXT(FixSun!$A42,"d")</f>
        <v>30</v>
      </c>
      <c r="U42" s="16" t="str">
        <f>TransEngToLangA(TEXT(FixSun!$A42,"mmm"))</f>
        <v>Ago</v>
      </c>
      <c r="V42" s="22" t="str">
        <f t="shared" si="8"/>
        <v>Ago</v>
      </c>
      <c r="X42" s="11" t="str">
        <f>CONCATENATE("\SunChapter{",PrepareLatexText(T42),"}{",PrepareLatexText(V42),"}{",PrepareLatexText(R42),"}{",PrepareLatexText(FixSun!E42),"}")</f>
        <v>\SunChapter{\nf{30}}{Ago}{Mateus}{\nf{4}}</v>
      </c>
      <c r="Y42" s="11" t="str">
        <f t="shared" si="9"/>
        <v>\SunTopic{\nf{30}}{Ago}{}{}{\nf{0}}</v>
      </c>
      <c r="Z42" s="11" t="str">
        <f>(IF(FixSun!D42=0,IF(ISBLANK('Edit Sun'!B42),"",Y42),X42))</f>
        <v>\SunChapter{\nf{30}}{Ago}{Mateus}{\nf{4}}</v>
      </c>
    </row>
    <row r="43" spans="2:26" ht="15.9" customHeight="1" thickBot="1">
      <c r="B43" s="29" t="str">
        <f t="shared" si="10"/>
        <v>Sept</v>
      </c>
      <c r="C43" s="43" t="str">
        <f t="shared" si="11"/>
        <v>6</v>
      </c>
      <c r="D43" s="47" t="s">
        <v>270</v>
      </c>
      <c r="E43" s="171" t="s">
        <v>1016</v>
      </c>
      <c r="F43" s="59"/>
      <c r="G43" s="2"/>
      <c r="H43" s="6"/>
      <c r="I43" s="6"/>
      <c r="O43" s="39" t="str">
        <f>TransEngToBookLangA(FixSun!D43)</f>
        <v>Mateus</v>
      </c>
      <c r="P43" s="26" t="str">
        <f>IF(AND((LangANo()="2"),NOT(ISBLANK(FixSun!B43))), FixSun!B43,TRIM(LookupTransA(LookupId(2,FixSun!B43))))</f>
        <v/>
      </c>
      <c r="Q43" s="26" t="str">
        <f>TRIM(LookupTransB(LookupId(2,FixSun!B43)))</f>
        <v/>
      </c>
      <c r="R43" s="17" t="str">
        <f t="shared" si="7"/>
        <v>Matthew</v>
      </c>
      <c r="S43" s="12" t="str">
        <f>TranslateRefs(FixSun!C43)</f>
        <v>0</v>
      </c>
      <c r="T43" s="23" t="str">
        <f>TEXT(FixSun!$A43,"d")</f>
        <v>6</v>
      </c>
      <c r="U43" s="16" t="str">
        <f>TransEngToLangA(TEXT(FixSun!$A43,"mmm"))</f>
        <v>Sept</v>
      </c>
      <c r="V43" s="22" t="str">
        <f t="shared" si="8"/>
        <v>Sept</v>
      </c>
      <c r="X43" s="11" t="str">
        <f>CONCATENATE("\SunChapter{",PrepareLatexText(T43),"}{",PrepareLatexText(V43),"}{",PrepareLatexText(R43),"}{",PrepareLatexText(FixSun!E43),"}")</f>
        <v>\SunChapter{\nf{6}}{Sept}{Matthew}{\nf{5}}</v>
      </c>
      <c r="Y43" s="11" t="str">
        <f t="shared" si="9"/>
        <v>\SunTopic{\nf{6}}{Sept}{}{}{\nf{0}}</v>
      </c>
      <c r="Z43" s="11" t="str">
        <f>(IF(FixSun!D43=0,IF(ISBLANK('Edit Sun'!B43),"",Y43),X43))</f>
        <v>\SunChapter{\nf{6}}{Sept}{Matthew}{\nf{5}}</v>
      </c>
    </row>
    <row r="44" spans="2:26" ht="35.4" customHeight="1" thickBot="1">
      <c r="B44" s="29" t="str">
        <f t="shared" si="10"/>
        <v>Sept</v>
      </c>
      <c r="C44" s="43" t="str">
        <f t="shared" si="11"/>
        <v>13</v>
      </c>
      <c r="D44" s="92" t="s">
        <v>270</v>
      </c>
      <c r="E44" s="172" t="s">
        <v>1009</v>
      </c>
      <c r="F44" s="8"/>
      <c r="O44" s="39" t="str">
        <f>TransEngToBookLangA(FixSun!D44)</f>
        <v>Mateus</v>
      </c>
      <c r="P44" s="26" t="str">
        <f>IF(AND((LangANo()="2"),NOT(ISBLANK(FixSun!B44))), FixSun!B44,TRIM(LookupTransA(LookupId(2,FixSun!B44))))</f>
        <v/>
      </c>
      <c r="Q44" s="26" t="str">
        <f>TRIM(LookupTransB(LookupId(2,FixSun!B44)))</f>
        <v/>
      </c>
      <c r="R44" s="17" t="str">
        <f t="shared" si="7"/>
        <v>Mateus</v>
      </c>
      <c r="S44" s="12" t="str">
        <f>TranslateRefs(FixSun!C44)</f>
        <v>0</v>
      </c>
      <c r="T44" s="23" t="str">
        <f>TEXT(FixSun!$A44,"d")</f>
        <v>13</v>
      </c>
      <c r="U44" s="16" t="str">
        <f>TransEngToLangA(TEXT(FixSun!$A44,"mmm"))</f>
        <v>Sept</v>
      </c>
      <c r="V44" s="22" t="str">
        <f t="shared" si="8"/>
        <v>Sept</v>
      </c>
      <c r="X44" s="11" t="str">
        <f>CONCATENATE("\SunChapter{",PrepareLatexText(T44),"}{",PrepareLatexText(V44),"}{",PrepareLatexText(R44),"}{",PrepareLatexText(FixSun!E44),"}")</f>
        <v>\SunChapter{\nf{13}}{Sept}{Mateus}{\nf{6}}</v>
      </c>
      <c r="Y44" s="11" t="str">
        <f t="shared" si="9"/>
        <v>\SunTopic{\nf{13}}{Sept}{}{}{\nf{0}}</v>
      </c>
      <c r="Z44" s="11" t="str">
        <f>(IF(FixSun!D44=0,IF(ISBLANK('Edit Sun'!B44),"",Y44),X44))</f>
        <v>\SunChapter{\nf{13}}{Sept}{Mateus}{\nf{6}}</v>
      </c>
    </row>
    <row r="45" spans="2:26" ht="30.5" thickBot="1">
      <c r="B45" s="29" t="str">
        <f t="shared" si="10"/>
        <v>Sept</v>
      </c>
      <c r="C45" s="43" t="str">
        <f t="shared" si="11"/>
        <v>20</v>
      </c>
      <c r="D45" s="269" t="s">
        <v>1059</v>
      </c>
      <c r="E45" s="268"/>
      <c r="F45" s="8"/>
      <c r="O45" s="39" t="str">
        <f>TransEngToBookLangA(FixSun!D45)</f>
        <v>0</v>
      </c>
      <c r="P45" s="26" t="str">
        <f>IF(AND((LangANo()="2"),NOT(ISBLANK(FixSun!B45))), FixSun!B45,TRIM(LookupTransA(LookupId(2,FixSun!B45))))</f>
        <v>As lutas diárias</v>
      </c>
      <c r="Q45" s="26" t="str">
        <f>TRIM(LookupTransB(LookupId(2,FixSun!B45)))</f>
        <v>Daily struggles</v>
      </c>
      <c r="R45" s="17" t="str">
        <f t="shared" si="7"/>
        <v>0</v>
      </c>
      <c r="S45" s="12" t="str">
        <f>TranslateRefs(FixSun!C45)</f>
        <v xml:space="preserve">Isa 28:6; Mar 6:48; Luc 9:23; 13:24; Flp 1:27; 1Tim 6:11–12; 2Tim 3:1-5; Heb 12:4
</v>
      </c>
      <c r="T45" s="23" t="str">
        <f>TEXT(FixSun!$A45,"d")</f>
        <v>20</v>
      </c>
      <c r="U45" s="16" t="str">
        <f>TransEngToLangA(TEXT(FixSun!$A45,"mmm"))</f>
        <v>Sept</v>
      </c>
      <c r="V45" s="22" t="str">
        <f t="shared" si="8"/>
        <v>Sept</v>
      </c>
      <c r="X45" s="11" t="str">
        <f>CONCATENATE("\SunChapter{",PrepareLatexText(T45),"}{",PrepareLatexText(V45),"}{",PrepareLatexText(R45),"}{",PrepareLatexText(FixSun!E45),"}")</f>
        <v>\SunChapter{\nf{20}}{Sept}{\nf{0}}{\nf{0}}</v>
      </c>
      <c r="Y45" s="11" t="str">
        <f t="shared" si="9"/>
        <v>\SunTopic{\nf{20}}{Sept}{As\ lutas\ di\'arias}{Daily\ struggles}{Isa~\nf{28}:\nf{6};\ Mar~\nf{6}:\nf{48};\ Luc~\nf{9}:\nf{23};\ \nf{13}:\nf{24};\ Flp~\nf{1}:\nf{27};\ \nf{1}Tim~\nf{6}:\nf{11}\nobreakrefrange \nf{12};\ \nf{2}Tim~\nf{3}:\nf{1}\nobreakrefrange \nf{5};\ Heb~\nf{12}:\nf{4}
}</v>
      </c>
      <c r="Z45" s="11" t="str">
        <f>(IF(FixSun!D45=0,IF(ISBLANK('Edit Sun'!B45),"",Y45),X45))</f>
        <v>\SunTopic{\nf{20}}{Sept}{As\ lutas\ di\'arias}{Daily\ struggles}{Isa~\nf{28}:\nf{6};\ Mar~\nf{6}:\nf{48};\ Luc~\nf{9}:\nf{23};\ \nf{13}:\nf{24};\ Flp~\nf{1}:\nf{27};\ \nf{1}Tim~\nf{6}:\nf{11}\nobreakrefrange \nf{12};\ \nf{2}Tim~\nf{3}:\nf{1}\nobreakrefrange \nf{5};\ Heb~\nf{12}:\nf{4}
}</v>
      </c>
    </row>
    <row r="46" spans="2:26" ht="15.9" customHeight="1" thickBot="1">
      <c r="B46" s="29" t="str">
        <f t="shared" si="10"/>
        <v>Sept</v>
      </c>
      <c r="C46" s="43" t="str">
        <f t="shared" si="11"/>
        <v>27</v>
      </c>
      <c r="D46" s="93" t="s">
        <v>270</v>
      </c>
      <c r="E46" s="171">
        <v>15</v>
      </c>
      <c r="F46" s="7"/>
      <c r="G46" s="2"/>
      <c r="H46" s="6"/>
      <c r="I46" s="10"/>
      <c r="O46" s="39" t="str">
        <f>TransEngToBookLangA(FixSun!D46)</f>
        <v>Mateus</v>
      </c>
      <c r="P46" s="26" t="str">
        <f>IF(AND((LangANo()="2"),NOT(ISBLANK(FixSun!B46))), FixSun!B46,TRIM(LookupTransA(LookupId(2,FixSun!B46))))</f>
        <v/>
      </c>
      <c r="Q46" s="26" t="str">
        <f>TRIM(LookupTransB(LookupId(2,FixSun!B46)))</f>
        <v/>
      </c>
      <c r="R46" s="17" t="str">
        <f t="shared" si="7"/>
        <v>Mateus</v>
      </c>
      <c r="S46" s="12" t="str">
        <f>TranslateRefs(FixSun!C46)</f>
        <v>0</v>
      </c>
      <c r="T46" s="23" t="str">
        <f>TEXT(FixSun!$A46,"d")</f>
        <v>27</v>
      </c>
      <c r="U46" s="16" t="str">
        <f>TransEngToLangA(TEXT(FixSun!$A46,"mmm"))</f>
        <v>Sept</v>
      </c>
      <c r="V46" s="22" t="str">
        <f t="shared" si="8"/>
        <v>Sept</v>
      </c>
      <c r="X46" s="11" t="str">
        <f>CONCATENATE("\SunChapter{",PrepareLatexText(T46),"}{",PrepareLatexText(V46),"}{",PrepareLatexText(R46),"}{",PrepareLatexText(FixSun!E46),"}")</f>
        <v>\SunChapter{\nf{27}}{Sept}{Mateus}{\nf{7}}</v>
      </c>
      <c r="Y46" s="11" t="str">
        <f t="shared" si="9"/>
        <v>\SunTopic{\nf{27}}{Sept}{}{}{\nf{0}}</v>
      </c>
      <c r="Z46" s="11" t="str">
        <f>(IF(FixSun!D46=0,IF(ISBLANK('Edit Sun'!B46),"",Y46),X46))</f>
        <v>\SunChapter{\nf{27}}{Sept}{Mateus}{\nf{7}}</v>
      </c>
    </row>
    <row r="47" spans="2:26" ht="37.5" customHeight="1" thickBot="1">
      <c r="B47" s="29" t="str">
        <f t="shared" si="10"/>
        <v>Out</v>
      </c>
      <c r="C47" s="43" t="str">
        <f t="shared" si="11"/>
        <v>4</v>
      </c>
      <c r="D47" s="95" t="s">
        <v>270</v>
      </c>
      <c r="E47" s="172">
        <v>16</v>
      </c>
      <c r="F47" s="48"/>
      <c r="O47" s="39" t="str">
        <f>TransEngToBookLangA(FixSun!D47)</f>
        <v>Mateus</v>
      </c>
      <c r="P47" s="26" t="str">
        <f>IF(AND((LangANo()="2"),NOT(ISBLANK(FixSun!B47))), FixSun!B47,TRIM(LookupTransA(LookupId(2,FixSun!B47))))</f>
        <v/>
      </c>
      <c r="Q47" s="26" t="str">
        <f>TRIM(LookupTransB(LookupId(2,FixSun!B47)))</f>
        <v/>
      </c>
      <c r="R47" s="17" t="str">
        <f t="shared" si="7"/>
        <v>Matthew</v>
      </c>
      <c r="S47" s="12" t="str">
        <f>TranslateRefs(FixSun!C47)</f>
        <v>0</v>
      </c>
      <c r="T47" s="23" t="str">
        <f>TEXT(FixSun!$A47,"d")</f>
        <v>4</v>
      </c>
      <c r="U47" s="16" t="str">
        <f>TransEngToLangA(TEXT(FixSun!$A47,"mmm"))</f>
        <v>Out</v>
      </c>
      <c r="V47" s="22" t="str">
        <f t="shared" si="8"/>
        <v>Out</v>
      </c>
      <c r="X47" s="11" t="str">
        <f>CONCATENATE("\SunChapter{",PrepareLatexText(T47),"}{",PrepareLatexText(V47),"}{",PrepareLatexText(R47),"}{",PrepareLatexText(FixSun!E47),"}")</f>
        <v>\SunChapter{\nf{4}}{Out}{Matthew}{\nf{8}}</v>
      </c>
      <c r="Y47" s="11" t="str">
        <f t="shared" si="9"/>
        <v>\SunTopic{\nf{4}}{Out}{}{}{\nf{0}}</v>
      </c>
      <c r="Z47" s="11" t="str">
        <f>(IF(FixSun!D47=0,IF(ISBLANK('Edit Sun'!B47),"",Y47),X47))</f>
        <v>\SunChapter{\nf{4}}{Out}{Matthew}{\nf{8}}</v>
      </c>
    </row>
    <row r="48" spans="2:26" ht="16" thickBot="1">
      <c r="B48" s="29" t="str">
        <f t="shared" si="10"/>
        <v>Oct</v>
      </c>
      <c r="C48" s="43" t="str">
        <f t="shared" si="11"/>
        <v>11</v>
      </c>
      <c r="D48" s="269" t="s">
        <v>1060</v>
      </c>
      <c r="E48" s="268"/>
      <c r="F48" s="8"/>
      <c r="O48" s="39" t="str">
        <f>TransEngToBookLangA(FixSun!D48)</f>
        <v>0</v>
      </c>
      <c r="P48" s="26" t="str">
        <f>IF(AND((LangANo()="2"),NOT(ISBLANK(FixSun!B48))), FixSun!B48,TRIM(LookupTransA(LookupId(2,FixSun!B48))))</f>
        <v>A vida abundante</v>
      </c>
      <c r="Q48" s="26" t="str">
        <f>TRIM(LookupTransB(LookupId(2,FixSun!B48)))</f>
        <v>Abundant Life</v>
      </c>
      <c r="R48" s="17" t="str">
        <f t="shared" si="7"/>
        <v>0</v>
      </c>
      <c r="S48" s="12" t="str">
        <f>TranslateRefs(FixSun!C48)</f>
        <v>Sal 36:8-10; João 10:10; Rom. 8:32; 2Cor 9:8,15; Efé 3:17-21; Kol 2:9,10; 2Ped 1:4,11</v>
      </c>
      <c r="T48" s="23" t="str">
        <f>TEXT(FixSun!$A48,"d")</f>
        <v>11</v>
      </c>
      <c r="U48" s="16" t="str">
        <f>TransEngToLangA(TEXT(FixSun!$A48,"mmm"))</f>
        <v>Out</v>
      </c>
      <c r="V48" s="22" t="str">
        <f t="shared" si="8"/>
        <v>Oct</v>
      </c>
      <c r="X48" s="11" t="str">
        <f>CONCATENATE("\SunChapter{",PrepareLatexText(T48),"}{",PrepareLatexText(V48),"}{",PrepareLatexText(R48),"}{",PrepareLatexText(FixSun!E48),"}")</f>
        <v>\SunChapter{\nf{11}}{Oct}{\nf{0}}{\nf{0}}</v>
      </c>
      <c r="Y48" s="11" t="str">
        <f t="shared" si="9"/>
        <v>\SunTopic{\nf{11}}{Oct}{A\ vida\ abundante}{Abundant\ Life}{Sal~\nf{36}:\nf{8}\nobreakrefrange \nf{10};\ Jo\~ao~\nf{10}:\nf{10};\ Rom.~\nf{8}:\nf{32};\ \nf{2}Cor~\nf{9}:\nf{8},\nf{15};\ Ef\'e~\nf{3}:\nf{17}\nobreakrefrange \nf{21};\ Kol~\nf{2}:\nf{9},\nf{10};\ \nf{2}Ped~\nf{1}:\nf{4},\nf{11}}</v>
      </c>
      <c r="Z48" s="11" t="str">
        <f>(IF(FixSun!D48=0,IF(ISBLANK('Edit Sun'!B48),"",Y48),X48))</f>
        <v>\SunTopic{\nf{11}}{Oct}{A\ vida\ abundante}{Abundant\ Life}{Sal~\nf{36}:\nf{8}\nobreakrefrange \nf{10};\ Jo\~ao~\nf{10}:\nf{10};\ Rom.~\nf{8}:\nf{32};\ \nf{2}Cor~\nf{9}:\nf{8},\nf{15};\ Ef\'e~\nf{3}:\nf{17}\nobreakrefrange \nf{21};\ Kol~\nf{2}:\nf{9},\nf{10};\ \nf{2}Ped~\nf{1}:\nf{4},\nf{11}}</v>
      </c>
    </row>
    <row r="49" spans="2:26" ht="15.9" customHeight="1" thickBot="1">
      <c r="B49" s="29" t="str">
        <f t="shared" si="10"/>
        <v>Out</v>
      </c>
      <c r="C49" s="43" t="str">
        <f t="shared" si="11"/>
        <v>18</v>
      </c>
      <c r="D49" s="93" t="s">
        <v>465</v>
      </c>
      <c r="E49" s="171">
        <v>1</v>
      </c>
      <c r="F49" s="8"/>
      <c r="O49" s="39" t="str">
        <f>TransEngToBookLangA(FixSun!D49)</f>
        <v>Mateus</v>
      </c>
      <c r="P49" s="26" t="str">
        <f>IF(AND((LangANo()="2"),NOT(ISBLANK(FixSun!B49))), FixSun!B49,TRIM(LookupTransA(LookupId(2,FixSun!B49))))</f>
        <v/>
      </c>
      <c r="Q49" s="26" t="str">
        <f>TRIM(LookupTransB(LookupId(2,FixSun!B49)))</f>
        <v/>
      </c>
      <c r="R49" s="17" t="str">
        <f t="shared" si="7"/>
        <v>Mateus</v>
      </c>
      <c r="S49" s="12" t="str">
        <f>TranslateRefs(FixSun!C49)</f>
        <v>0</v>
      </c>
      <c r="T49" s="23" t="str">
        <f>TEXT(FixSun!$A49,"d")</f>
        <v>18</v>
      </c>
      <c r="U49" s="16" t="str">
        <f>TransEngToLangA(TEXT(FixSun!$A49,"mmm"))</f>
        <v>Out</v>
      </c>
      <c r="V49" s="22" t="str">
        <f t="shared" si="8"/>
        <v>Out</v>
      </c>
      <c r="X49" s="11" t="str">
        <f>CONCATENATE("\SunChapter{",PrepareLatexText(T49),"}{",PrepareLatexText(V49),"}{",PrepareLatexText(R49),"}{",PrepareLatexText(FixSun!E49),"}")</f>
        <v>\SunChapter{\nf{18}}{Out}{Mateus}{\nf{9}}</v>
      </c>
      <c r="Y49" s="11" t="str">
        <f t="shared" si="9"/>
        <v>\SunTopic{\nf{18}}{Out}{}{}{\nf{0}}</v>
      </c>
      <c r="Z49" s="11" t="str">
        <f>(IF(FixSun!D49=0,IF(ISBLANK('Edit Sun'!B49),"",Y49),X49))</f>
        <v>\SunChapter{\nf{18}}{Out}{Mateus}{\nf{9}}</v>
      </c>
    </row>
    <row r="50" spans="2:26" ht="34.5" customHeight="1" thickBot="1">
      <c r="B50" s="29" t="str">
        <f t="shared" si="10"/>
        <v>Oct</v>
      </c>
      <c r="C50" s="43" t="str">
        <f t="shared" si="11"/>
        <v>25</v>
      </c>
      <c r="D50" s="92" t="s">
        <v>465</v>
      </c>
      <c r="E50" s="172">
        <v>2</v>
      </c>
      <c r="F50" s="8"/>
      <c r="G50" s="2"/>
      <c r="H50" s="6"/>
      <c r="I50" s="6"/>
      <c r="O50" s="39" t="str">
        <f>TransEngToBookLangA(FixSun!D50)</f>
        <v>Mateus</v>
      </c>
      <c r="P50" s="26" t="str">
        <f>IF(AND((LangANo()="2"),NOT(ISBLANK(FixSun!B50))), FixSun!B50,TRIM(LookupTransA(LookupId(2,FixSun!B50))))</f>
        <v/>
      </c>
      <c r="Q50" s="26" t="str">
        <f>TRIM(LookupTransB(LookupId(2,FixSun!B50)))</f>
        <v/>
      </c>
      <c r="R50" s="17" t="str">
        <f t="shared" si="7"/>
        <v>Matthew</v>
      </c>
      <c r="S50" s="12" t="str">
        <f>TranslateRefs(FixSun!C50)</f>
        <v>0</v>
      </c>
      <c r="T50" s="23" t="str">
        <f>TEXT(FixSun!$A50,"d")</f>
        <v>25</v>
      </c>
      <c r="U50" s="16" t="str">
        <f>TransEngToLangA(TEXT(FixSun!$A50,"mmm"))</f>
        <v>Out</v>
      </c>
      <c r="V50" s="22" t="str">
        <f t="shared" si="8"/>
        <v>Oct</v>
      </c>
      <c r="X50" s="11" t="str">
        <f>CONCATENATE("\SunChapter{",PrepareLatexText(T50),"}{",PrepareLatexText(V50),"}{",PrepareLatexText(R50),"}{",PrepareLatexText(FixSun!E50),"}")</f>
        <v>\SunChapter{\nf{25}}{Oct}{Matthew}{\nf{10}}</v>
      </c>
      <c r="Y50" s="11" t="str">
        <f t="shared" si="9"/>
        <v>\SunTopic{\nf{25}}{Oct}{}{}{\nf{0}}</v>
      </c>
      <c r="Z50" s="11" t="str">
        <f>(IF(FixSun!D50=0,IF(ISBLANK('Edit Sun'!B50),"",Y50),X50))</f>
        <v>\SunChapter{\nf{25}}{Oct}{Matthew}{\nf{10}}</v>
      </c>
    </row>
    <row r="51" spans="2:26" ht="30.5" thickBot="1">
      <c r="B51" s="29" t="str">
        <f t="shared" si="10"/>
        <v>Nov</v>
      </c>
      <c r="C51" s="43" t="str">
        <f t="shared" si="11"/>
        <v>1</v>
      </c>
      <c r="D51" s="270" t="s">
        <v>1061</v>
      </c>
      <c r="E51" s="268"/>
      <c r="F51" s="48"/>
      <c r="O51" s="39" t="str">
        <f>TransEngToBookLangA(FixSun!D51)</f>
        <v>0</v>
      </c>
      <c r="P51" s="26" t="str">
        <f>IF(AND((LangANo()="2"),NOT(ISBLANK(FixSun!B51))), FixSun!B51,TRIM(LookupTransA(LookupId(2,FixSun!B51))))</f>
        <v>A beleza da simplicidade</v>
      </c>
      <c r="Q51" s="26" t="str">
        <f>TRIM(LookupTransB(LookupId(2,FixSun!B51)))</f>
        <v>Beauty of simplicity</v>
      </c>
      <c r="R51" s="17" t="str">
        <f t="shared" si="7"/>
        <v>0</v>
      </c>
      <c r="S51" s="12" t="str">
        <f>TranslateRefs(FixSun!C51)</f>
        <v>Sal 131:1-2;  Isa 52:7; Mat 5:3; 11:25; 21:16; Mar 10:14-15; Luc 2:6-20; Rom 16:19,20; 2Cor 1:12</v>
      </c>
      <c r="T51" s="23" t="str">
        <f>TEXT(FixSun!$A51,"d")</f>
        <v>1</v>
      </c>
      <c r="U51" s="16" t="str">
        <f>TransEngToLangA(TEXT(FixSun!$A51,"mmm"))</f>
        <v>Nov</v>
      </c>
      <c r="V51" s="22" t="str">
        <f t="shared" si="8"/>
        <v>Nov</v>
      </c>
      <c r="X51" s="11" t="str">
        <f>CONCATENATE("\SunChapter{",PrepareLatexText(T51),"}{",PrepareLatexText(V51),"}{",PrepareLatexText(R51),"}{",PrepareLatexText(FixSun!E51),"}")</f>
        <v>\SunChapter{\nf{1}}{Nov}{\nf{0}}{\nf{0}}</v>
      </c>
      <c r="Y51" s="11" t="str">
        <f t="shared" si="9"/>
        <v>\SunTopic{\nf{1}}{Nov}{A\ beleza\ da\ simplicidade}{Beauty\ of\ simplicity}{Sal~\nf{131}:\nf{1}\nobreakrefrange \nf{2};\ ~Isa~\nf{52}:\nf{7};\ Mat~\nf{5}:\nf{3};\ \nf{11}:\nf{25};\ \nf{21}:\nf{16};\ Mar~\nf{10}:\nf{14}\nobreakrefrange \nf{15};\ Luc~\nf{2}:\nf{6}\nobreakrefrange \nf{20};\ Rom~\nf{16}:\nf{19},\nf{20};\ \nf{2}Cor~\nf{1}:\nf{12}}</v>
      </c>
      <c r="Z51" s="11" t="str">
        <f>(IF(FixSun!D51=0,IF(ISBLANK('Edit Sun'!B51),"",Y51),X51))</f>
        <v>\SunTopic{\nf{1}}{Nov}{A\ beleza\ da\ simplicidade}{Beauty\ of\ simplicity}{Sal~\nf{131}:\nf{1}\nobreakrefrange \nf{2};\ ~Isa~\nf{52}:\nf{7};\ Mat~\nf{5}:\nf{3};\ \nf{11}:\nf{25};\ \nf{21}:\nf{16};\ Mar~\nf{10}:\nf{14}\nobreakrefrange \nf{15};\ Luc~\nf{2}:\nf{6}\nobreakrefrange \nf{20};\ Rom~\nf{16}:\nf{19},\nf{20};\ \nf{2}Cor~\nf{1}:\nf{12}}</v>
      </c>
    </row>
    <row r="52" spans="2:26" ht="16.25" customHeight="1" thickBot="1">
      <c r="B52" s="29" t="str">
        <f t="shared" si="10"/>
        <v>Nov</v>
      </c>
      <c r="C52" s="43" t="str">
        <f t="shared" si="11"/>
        <v>8</v>
      </c>
      <c r="D52" s="93" t="s">
        <v>465</v>
      </c>
      <c r="E52" s="171">
        <v>3</v>
      </c>
      <c r="F52" s="8"/>
      <c r="O52" s="39" t="str">
        <f>TransEngToBookLangA(FixSun!D52)</f>
        <v>Mateus</v>
      </c>
      <c r="P52" s="26" t="str">
        <f>IF(AND((LangANo()="2"),NOT(ISBLANK(FixSun!B52))), FixSun!B52,TRIM(LookupTransA(LookupId(2,FixSun!B52))))</f>
        <v/>
      </c>
      <c r="Q52" s="26" t="str">
        <f>TRIM(LookupTransB(LookupId(2,FixSun!B52)))</f>
        <v/>
      </c>
      <c r="R52" s="17" t="str">
        <f t="shared" si="7"/>
        <v>Mateus</v>
      </c>
      <c r="S52" s="12" t="str">
        <f>TranslateRefs(FixSun!C52)</f>
        <v>0</v>
      </c>
      <c r="T52" s="23" t="str">
        <f>TEXT(FixSun!$A52,"d")</f>
        <v>8</v>
      </c>
      <c r="U52" s="16" t="str">
        <f>TransEngToLangA(TEXT(FixSun!$A52,"mmm"))</f>
        <v>Nov</v>
      </c>
      <c r="V52" s="22" t="str">
        <f t="shared" si="8"/>
        <v>Nov</v>
      </c>
      <c r="X52" s="11" t="str">
        <f>CONCATENATE("\SunChapter{",PrepareLatexText(T52),"}{",PrepareLatexText(V52),"}{",PrepareLatexText(R52),"}{",PrepareLatexText(FixSun!E52),"}")</f>
        <v>\SunChapter{\nf{8}}{Nov}{Mateus}{\nf{11}}</v>
      </c>
      <c r="Y52" s="11" t="str">
        <f t="shared" si="9"/>
        <v>\SunTopic{\nf{8}}{Nov}{}{}{\nf{0}}</v>
      </c>
      <c r="Z52" s="11" t="str">
        <f>(IF(FixSun!D52=0,IF(ISBLANK('Edit Sun'!B52),"",Y52),X52))</f>
        <v>\SunChapter{\nf{8}}{Nov}{Mateus}{\nf{11}}</v>
      </c>
    </row>
    <row r="53" spans="2:26" ht="16" thickBot="1">
      <c r="B53" s="29" t="str">
        <f t="shared" si="10"/>
        <v>Nov</v>
      </c>
      <c r="C53" s="43" t="str">
        <f t="shared" si="11"/>
        <v>15</v>
      </c>
      <c r="D53" s="93" t="s">
        <v>465</v>
      </c>
      <c r="E53" s="171">
        <v>4</v>
      </c>
      <c r="F53" s="8"/>
      <c r="O53" s="39" t="str">
        <f>TransEngToBookLangA(FixSun!D53)</f>
        <v>Mateus</v>
      </c>
      <c r="P53" s="26" t="str">
        <f>IF(AND((LangANo()="2"),NOT(ISBLANK(FixSun!B53))), FixSun!B53,TRIM(LookupTransA(LookupId(2,FixSun!B53))))</f>
        <v/>
      </c>
      <c r="Q53" s="26" t="str">
        <f>TRIM(LookupTransB(LookupId(2,FixSun!B53)))</f>
        <v/>
      </c>
      <c r="R53" s="17" t="str">
        <f t="shared" si="7"/>
        <v>Matthew</v>
      </c>
      <c r="S53" s="12" t="str">
        <f>TranslateRefs(FixSun!C53)</f>
        <v>0</v>
      </c>
      <c r="T53" s="23" t="str">
        <f>TEXT(FixSun!$A53,"d")</f>
        <v>15</v>
      </c>
      <c r="U53" s="16" t="str">
        <f>TransEngToLangA(TEXT(FixSun!$A53,"mmm"))</f>
        <v>Nov</v>
      </c>
      <c r="V53" s="22" t="str">
        <f t="shared" si="8"/>
        <v>Nov</v>
      </c>
      <c r="X53" s="11" t="str">
        <f>CONCATENATE("\SunChapter{",PrepareLatexText(T53),"}{",PrepareLatexText(V53),"}{",PrepareLatexText(R53),"}{",PrepareLatexText(FixSun!E53),"}")</f>
        <v>\SunChapter{\nf{15}}{Nov}{Matthew}{\nf{12}}</v>
      </c>
      <c r="Y53" s="11" t="str">
        <f t="shared" si="9"/>
        <v>\SunTopic{\nf{15}}{Nov}{}{}{\nf{0}}</v>
      </c>
      <c r="Z53" s="11" t="str">
        <f>(IF(FixSun!D53=0,IF(ISBLANK('Edit Sun'!B53),"",Y53),X53))</f>
        <v>\SunChapter{\nf{15}}{Nov}{Matthew}{\nf{12}}</v>
      </c>
    </row>
    <row r="54" spans="2:26" ht="16" thickBot="1">
      <c r="B54" s="29" t="str">
        <f t="shared" si="10"/>
        <v>Nov</v>
      </c>
      <c r="C54" s="43" t="str">
        <f t="shared" si="11"/>
        <v>22</v>
      </c>
      <c r="D54" s="93" t="s">
        <v>465</v>
      </c>
      <c r="E54" s="171">
        <v>5</v>
      </c>
      <c r="F54" s="8"/>
      <c r="O54" s="39" t="str">
        <f>TransEngToBookLangA(FixSun!D54)</f>
        <v>Mateus</v>
      </c>
      <c r="P54" s="26" t="str">
        <f>IF(AND((LangANo()="2"),NOT(ISBLANK(FixSun!B54))), FixSun!B54,TRIM(LookupTransA(LookupId(2,FixSun!B54))))</f>
        <v/>
      </c>
      <c r="Q54" s="26" t="str">
        <f>TRIM(LookupTransB(LookupId(2,FixSun!B54)))</f>
        <v/>
      </c>
      <c r="R54" s="17" t="str">
        <f t="shared" si="7"/>
        <v>Mateus</v>
      </c>
      <c r="S54" s="12" t="str">
        <f>TranslateRefs(FixSun!C54)</f>
        <v>0</v>
      </c>
      <c r="T54" s="23" t="str">
        <f>TEXT(FixSun!$A54,"d")</f>
        <v>22</v>
      </c>
      <c r="U54" s="16" t="str">
        <f>TransEngToLangA(TEXT(FixSun!$A54,"mmm"))</f>
        <v>Nov</v>
      </c>
      <c r="V54" s="22" t="str">
        <f t="shared" si="8"/>
        <v>Nov</v>
      </c>
      <c r="X54" s="11" t="str">
        <f>CONCATENATE("\SunChapter{",PrepareLatexText(T54),"}{",PrepareLatexText(V54),"}{",PrepareLatexText(R54),"}{",PrepareLatexText(FixSun!E54),"}")</f>
        <v>\SunChapter{\nf{22}}{Nov}{Mateus}{\nf{13}}</v>
      </c>
      <c r="Y54" s="11" t="str">
        <f t="shared" si="9"/>
        <v>\SunTopic{\nf{22}}{Nov}{}{}{\nf{0}}</v>
      </c>
      <c r="Z54" s="11" t="str">
        <f>(IF(FixSun!D54=0,IF(ISBLANK('Edit Sun'!B54),"",Y54),X54))</f>
        <v>\SunChapter{\nf{22}}{Nov}{Mateus}{\nf{13}}</v>
      </c>
    </row>
    <row r="55" spans="2:26" ht="15" customHeight="1" thickBot="1">
      <c r="B55" s="29" t="str">
        <f t="shared" si="10"/>
        <v>Nov</v>
      </c>
      <c r="C55" s="43" t="str">
        <f t="shared" si="11"/>
        <v>29</v>
      </c>
      <c r="D55" s="93" t="s">
        <v>465</v>
      </c>
      <c r="E55" s="171">
        <v>6</v>
      </c>
      <c r="F55" s="8"/>
      <c r="O55" s="39" t="str">
        <f>TransEngToBookLangA(FixSun!D55)</f>
        <v>Mateus</v>
      </c>
      <c r="P55" s="26" t="str">
        <f>IF(AND((LangANo()="2"),NOT(ISBLANK(FixSun!B55))), FixSun!B55,TRIM(LookupTransA(LookupId(2,FixSun!B55))))</f>
        <v/>
      </c>
      <c r="Q55" s="26" t="str">
        <f>TRIM(LookupTransB(LookupId(2,FixSun!B55)))</f>
        <v/>
      </c>
      <c r="R55" s="17" t="str">
        <f t="shared" si="7"/>
        <v>Matthew</v>
      </c>
      <c r="S55" s="12" t="str">
        <f>TranslateRefs(FixSun!C55)</f>
        <v>0</v>
      </c>
      <c r="T55" s="23" t="str">
        <f>TEXT(FixSun!$A55,"d")</f>
        <v>29</v>
      </c>
      <c r="U55" s="16" t="str">
        <f>TransEngToLangA(TEXT(FixSun!$A55,"mmm"))</f>
        <v>Nov</v>
      </c>
      <c r="V55" s="22" t="str">
        <f t="shared" si="8"/>
        <v>Nov</v>
      </c>
      <c r="X55" s="11" t="str">
        <f>CONCATENATE("\SunChapter{",PrepareLatexText(T55),"}{",PrepareLatexText(V55),"}{",PrepareLatexText(R55),"}{",PrepareLatexText(FixSun!E55),"}")</f>
        <v>\SunChapter{\nf{29}}{Nov}{Matthew}{\nf{14}}</v>
      </c>
      <c r="Y55" s="11" t="str">
        <f t="shared" si="9"/>
        <v>\SunTopic{\nf{29}}{Nov}{}{}{\nf{0}}</v>
      </c>
      <c r="Z55" s="11" t="str">
        <f>(IF(FixSun!D55=0,IF(ISBLANK('Edit Sun'!B55),"",Y55),X55))</f>
        <v>\SunChapter{\nf{29}}{Nov}{Matthew}{\nf{14}}</v>
      </c>
    </row>
    <row r="56" spans="2:26" ht="16" thickBot="1">
      <c r="B56" s="29" t="str">
        <f t="shared" si="10"/>
        <v>Des</v>
      </c>
      <c r="C56" s="43" t="str">
        <f t="shared" si="11"/>
        <v>6</v>
      </c>
      <c r="D56" s="47" t="s">
        <v>466</v>
      </c>
      <c r="E56" s="171">
        <v>1</v>
      </c>
      <c r="F56" s="8"/>
      <c r="O56" s="39" t="str">
        <f>TransEngToBookLangA(FixSun!D56)</f>
        <v>Mateus</v>
      </c>
      <c r="P56" s="26" t="str">
        <f>IF(AND((LangANo()="2"),NOT(ISBLANK(FixSun!B56))), FixSun!B56,TRIM(LookupTransA(LookupId(2,FixSun!B56))))</f>
        <v/>
      </c>
      <c r="Q56" s="26" t="str">
        <f>TRIM(LookupTransB(LookupId(2,FixSun!B56)))</f>
        <v/>
      </c>
      <c r="R56" s="17" t="str">
        <f t="shared" si="7"/>
        <v>Mateus</v>
      </c>
      <c r="S56" s="12" t="str">
        <f>TranslateRefs(FixSun!C56)</f>
        <v>0</v>
      </c>
      <c r="T56" s="23" t="str">
        <f>TEXT(FixSun!$A56,"d")</f>
        <v>6</v>
      </c>
      <c r="U56" s="16" t="str">
        <f>TransEngToLangA(TEXT(FixSun!$A56,"mmm"))</f>
        <v>Des</v>
      </c>
      <c r="V56" s="22" t="str">
        <f t="shared" si="8"/>
        <v>Des</v>
      </c>
      <c r="X56" s="11" t="str">
        <f>CONCATENATE("\SunChapter{",PrepareLatexText(T56),"}{",PrepareLatexText(V56),"}{",PrepareLatexText(R56),"}{",PrepareLatexText(FixSun!E56),"}")</f>
        <v>\SunChapter{\nf{6}}{Des}{Mateus}{\nf{15}}</v>
      </c>
      <c r="Y56" s="11" t="str">
        <f t="shared" si="9"/>
        <v>\SunTopic{\nf{6}}{Des}{}{}{\nf{0}}</v>
      </c>
      <c r="Z56" s="11" t="str">
        <f>(IF(FixSun!D56=0,IF(ISBLANK('Edit Sun'!B56),"",Y56),X56))</f>
        <v>\SunChapter{\nf{6}}{Des}{Mateus}{\nf{15}}</v>
      </c>
    </row>
    <row r="57" spans="2:26" ht="15" customHeight="1" thickBot="1">
      <c r="B57" s="29" t="str">
        <f t="shared" si="10"/>
        <v>Dec</v>
      </c>
      <c r="C57" s="43" t="str">
        <f t="shared" si="11"/>
        <v>13</v>
      </c>
      <c r="D57" s="47" t="s">
        <v>466</v>
      </c>
      <c r="E57" s="171">
        <v>2</v>
      </c>
      <c r="F57" s="8"/>
      <c r="O57" s="39" t="str">
        <f>TransEngToBookLangA(FixSun!D57)</f>
        <v>Mateus</v>
      </c>
      <c r="P57" s="26" t="str">
        <f>IF(AND((LangANo()="2"),NOT(ISBLANK(FixSun!B57))), FixSun!B57,TRIM(LookupTransA(LookupId(2,FixSun!B57))))</f>
        <v/>
      </c>
      <c r="Q57" s="26" t="str">
        <f>TRIM(LookupTransB(LookupId(2,FixSun!B57)))</f>
        <v/>
      </c>
      <c r="R57" s="17" t="str">
        <f t="shared" si="7"/>
        <v>Matthew</v>
      </c>
      <c r="S57" s="12" t="str">
        <f>TranslateRefs(FixSun!C57)</f>
        <v>0</v>
      </c>
      <c r="T57" s="23" t="str">
        <f>TEXT(FixSun!$A57,"d")</f>
        <v>13</v>
      </c>
      <c r="U57" s="16" t="str">
        <f>TransEngToLangA(TEXT(FixSun!$A57,"mmm"))</f>
        <v>Des</v>
      </c>
      <c r="V57" s="22" t="str">
        <f t="shared" si="8"/>
        <v>Dec</v>
      </c>
      <c r="X57" s="11" t="str">
        <f>CONCATENATE("\SunChapter{",PrepareLatexText(T57),"}{",PrepareLatexText(V57),"}{",PrepareLatexText(R57),"}{",PrepareLatexText(FixSun!E57),"}")</f>
        <v>\SunChapter{\nf{13}}{Dec}{Matthew}{\nf{16}}</v>
      </c>
      <c r="Y57" s="11" t="str">
        <f t="shared" si="9"/>
        <v>\SunTopic{\nf{13}}{Dec}{}{}{\nf{0}}</v>
      </c>
      <c r="Z57" s="11" t="str">
        <f>(IF(FixSun!D57=0,IF(ISBLANK('Edit Sun'!B57),"",Y57),X57))</f>
        <v>\SunChapter{\nf{13}}{Dec}{Matthew}{\nf{16}}</v>
      </c>
    </row>
    <row r="58" spans="2:26" ht="16" thickBot="1">
      <c r="B58" s="45" t="str">
        <f t="shared" si="10"/>
        <v>Des</v>
      </c>
      <c r="C58" s="46" t="str">
        <f t="shared" si="11"/>
        <v>20</v>
      </c>
      <c r="D58" s="47" t="s">
        <v>466</v>
      </c>
      <c r="E58" s="171">
        <v>3</v>
      </c>
      <c r="F58" s="8"/>
      <c r="O58" s="39" t="str">
        <f>TransEngToBookLangA(FixSun!D58)</f>
        <v>Mateus</v>
      </c>
      <c r="P58" s="26" t="str">
        <f>IF(AND((LangANo()="2"),NOT(ISBLANK(FixSun!B58))), FixSun!B58,TRIM(LookupTransA(LookupId(2,FixSun!B58))))</f>
        <v/>
      </c>
      <c r="Q58" s="26" t="str">
        <f>TRIM(LookupTransB(LookupId(2,FixSun!B58)))</f>
        <v/>
      </c>
      <c r="R58" s="17" t="str">
        <f t="shared" si="7"/>
        <v>Mateus</v>
      </c>
      <c r="S58" s="12" t="str">
        <f>TranslateRefs(FixSun!C58)</f>
        <v>0</v>
      </c>
      <c r="T58" s="23" t="str">
        <f>TEXT(FixSun!$A58,"d")</f>
        <v>20</v>
      </c>
      <c r="U58" s="16" t="str">
        <f>TransEngToLangA(TEXT(FixSun!$A58,"mmm"))</f>
        <v>Des</v>
      </c>
      <c r="V58" s="22" t="str">
        <f t="shared" si="8"/>
        <v>Des</v>
      </c>
      <c r="X58" s="11" t="str">
        <f>CONCATENATE("\SunChapter{",PrepareLatexText(T58),"}{",PrepareLatexText(V58),"}{",PrepareLatexText(R58),"}{",PrepareLatexText(FixSun!E58),"}")</f>
        <v>\SunChapter{\nf{20}}{Des}{Mateus}{\nf{17}}</v>
      </c>
      <c r="Y58" s="11" t="str">
        <f t="shared" si="9"/>
        <v>\SunTopic{\nf{20}}{Des}{}{}{\nf{0}}</v>
      </c>
      <c r="Z58" s="11" t="str">
        <f>(IF(FixSun!D58=0,IF(ISBLANK('Edit Sun'!B58),"",Y58),X58))</f>
        <v>\SunChapter{\nf{20}}{Des}{Mateus}{\nf{17}}</v>
      </c>
    </row>
    <row r="59" spans="2:26" ht="16.5" customHeight="1" thickBot="1">
      <c r="B59" s="31" t="str">
        <f>V59</f>
        <v>Dec</v>
      </c>
      <c r="C59" s="44" t="str">
        <f>T59</f>
        <v>27</v>
      </c>
      <c r="D59" s="121" t="s">
        <v>466</v>
      </c>
      <c r="E59" s="173">
        <v>4</v>
      </c>
      <c r="F59" s="49"/>
      <c r="O59" s="39" t="str">
        <f>TransEngToBookLangA(FixSun!D59)</f>
        <v>Mateus</v>
      </c>
      <c r="P59" s="26" t="str">
        <f>IF(AND((LangANo()="2"),NOT(ISBLANK(FixSun!B59))), FixSun!B59,TRIM(LookupTransA(LookupId(2,FixSun!B59))))</f>
        <v/>
      </c>
      <c r="Q59" s="26" t="str">
        <f>TRIM(LookupTransB(LookupId(2,FixSun!B59)))</f>
        <v/>
      </c>
      <c r="R59" s="17" t="str">
        <f t="shared" si="7"/>
        <v>Matthew</v>
      </c>
      <c r="S59" s="12" t="str">
        <f>TranslateRefs(FixSun!C59)</f>
        <v>0</v>
      </c>
      <c r="T59" s="23" t="str">
        <f>TEXT(FixSun!$A59,"d")</f>
        <v>27</v>
      </c>
      <c r="U59" s="16" t="str">
        <f>TransEngToLangA(TEXT(FixSun!$A59,"mmm"))</f>
        <v>Des</v>
      </c>
      <c r="V59" s="22" t="str">
        <f t="shared" si="8"/>
        <v>Dec</v>
      </c>
      <c r="X59" s="11" t="str">
        <f>CONCATENATE("\SunChapter{",PrepareLatexText(T59),"}{",PrepareLatexText(V59),"}{",PrepareLatexText(R59),"}{",PrepareLatexText(FixSun!E59),"}")</f>
        <v>\SunChapter{\nf{27}}{Dec}{Matthew}{\nf{18}}</v>
      </c>
      <c r="Y59" s="11" t="str">
        <f t="shared" si="9"/>
        <v>\SunTopic{\nf{27}}{Dec}{}{}{\nf{0}}</v>
      </c>
      <c r="Z59" s="11" t="str">
        <f>(IF(FixSun!D59=0,IF(ISBLANK('Edit Sun'!B59),"",Y59),X59))</f>
        <v>\SunChapter{\nf{27}}{Dec}{Matthew}{\nf{18}}</v>
      </c>
    </row>
    <row r="60" spans="2:26" ht="16" thickBot="1">
      <c r="B60" s="31" t="str">
        <f>V60</f>
        <v>Jan</v>
      </c>
      <c r="C60" s="44" t="str">
        <f>T60</f>
        <v>0</v>
      </c>
      <c r="D60" s="155" t="s">
        <v>695</v>
      </c>
      <c r="E60" s="156"/>
      <c r="F60" s="49"/>
      <c r="O60" s="39" t="str">
        <f>TransEngToBookLangA(FixSun!D60)</f>
        <v/>
      </c>
      <c r="P60" s="26" t="str">
        <f>IF(AND((LangANo()="2"),NOT(ISBLANK(FixSun!B60))), FixSun!B60,TRIM(LookupTransA(LookupId(2,FixSun!B60))))</f>
        <v/>
      </c>
      <c r="Q60" s="26" t="str">
        <f>TRIM(LookupTransB(LookupId(2,FixSun!B60)))</f>
        <v/>
      </c>
      <c r="R60" s="17" t="str">
        <f t="shared" si="7"/>
        <v/>
      </c>
      <c r="S60" s="12" t="str">
        <f>TranslateRefs(FixSun!C60)</f>
        <v/>
      </c>
      <c r="T60" s="23" t="str">
        <f>TEXT(FixSun!$A60,"d")</f>
        <v>0</v>
      </c>
      <c r="U60" s="16" t="str">
        <f>TransEngToLangA(TEXT(FixSun!$A60,"mmm"))</f>
        <v>Jan</v>
      </c>
      <c r="V60" s="22" t="str">
        <f t="shared" si="8"/>
        <v>Jan</v>
      </c>
      <c r="X60" s="11" t="str">
        <f>CONCATENATE("\SunChapter{",PrepareLatexText(T60),"}{",PrepareLatexText(V60),"}{",PrepareLatexText(R60),"}{",PrepareLatexText(FixSun!E60),"}")</f>
        <v>\SunChapter{\nf{0}}{Jan}{}{}</v>
      </c>
      <c r="Y60" s="11" t="str">
        <f t="shared" si="9"/>
        <v>\SunTopic{\nf{0}}{Jan}{}{}{}</v>
      </c>
      <c r="Z60" s="11" t="str">
        <f>(IF(FixSun!D60=0,IF(ISBLANK('Edit Sun'!B60),"",Y60),X60))</f>
        <v/>
      </c>
    </row>
    <row r="61" spans="2:26">
      <c r="D61" s="36"/>
    </row>
    <row r="62" spans="2:26">
      <c r="D62" s="36"/>
    </row>
  </sheetData>
  <mergeCells count="18">
    <mergeCell ref="D45:E45"/>
    <mergeCell ref="D48:E48"/>
    <mergeCell ref="D51:E51"/>
    <mergeCell ref="D11:E11"/>
    <mergeCell ref="D14:E14"/>
    <mergeCell ref="B32:E32"/>
    <mergeCell ref="B33:E33"/>
    <mergeCell ref="D36:E36"/>
    <mergeCell ref="D17:E17"/>
    <mergeCell ref="D20:E20"/>
    <mergeCell ref="D23:E23"/>
    <mergeCell ref="D26:E26"/>
    <mergeCell ref="D29:E29"/>
    <mergeCell ref="C1:E1"/>
    <mergeCell ref="O2:V2"/>
    <mergeCell ref="B2:E2"/>
    <mergeCell ref="B3:E3"/>
    <mergeCell ref="D8:E8"/>
  </mergeCells>
  <printOptions horizontalCentered="1" verticalCentered="1"/>
  <pageMargins left="0.23622047244094488" right="0.23622047244094488" top="0.4" bottom="0.48" header="0" footer="0"/>
  <pageSetup paperSize="11" scale="80" orientation="portrait" r:id="rId1"/>
  <legacyDrawing r:id="rId2"/>
</worksheet>
</file>

<file path=xl/worksheets/sheet6.xml><?xml version="1.0" encoding="utf-8"?>
<worksheet xmlns="http://schemas.openxmlformats.org/spreadsheetml/2006/main" xmlns:r="http://schemas.openxmlformats.org/officeDocument/2006/relationships">
  <sheetPr codeName="Sheet7"/>
  <dimension ref="A1:H76"/>
  <sheetViews>
    <sheetView workbookViewId="0">
      <selection activeCell="B31" sqref="B31"/>
    </sheetView>
  </sheetViews>
  <sheetFormatPr defaultRowHeight="15"/>
  <cols>
    <col min="1" max="1" width="19.81640625" style="35" bestFit="1" customWidth="1"/>
    <col min="2" max="2" width="35.36328125" style="6" bestFit="1" customWidth="1"/>
    <col min="3" max="3" width="80.453125" style="202" bestFit="1" customWidth="1"/>
    <col min="4" max="4" width="19.08984375" style="2" customWidth="1"/>
    <col min="5" max="5" width="22.1796875" style="2" customWidth="1"/>
    <col min="6" max="6" width="10.453125" customWidth="1"/>
  </cols>
  <sheetData>
    <row r="1" spans="1:7">
      <c r="A1" s="112"/>
      <c r="B1" s="196"/>
      <c r="C1" s="196"/>
      <c r="D1" s="196"/>
      <c r="E1" s="196"/>
    </row>
    <row r="2" spans="1:7" ht="30">
      <c r="A2" s="112"/>
      <c r="B2" s="196"/>
      <c r="C2" s="196"/>
      <c r="D2" s="196" t="str">
        <f>INDEX('Edit Sun'!D2:E2,1,1)</f>
        <v>List book names in English only</v>
      </c>
      <c r="E2" s="196"/>
    </row>
    <row r="3" spans="1:7">
      <c r="A3" s="112" t="str">
        <f>INDEX('Edit Sun'!A3:B3,1,1)</f>
        <v>Date</v>
      </c>
      <c r="B3" s="196" t="str">
        <f>INDEX('Edit Sun'!B3:C3,1,1)</f>
        <v>Eng Topic</v>
      </c>
      <c r="C3" s="196" t="str">
        <f>INDEX('Edit Sun'!C3:D3,1,1)</f>
        <v>References</v>
      </c>
      <c r="D3" s="196" t="str">
        <f>INDEX('Edit Sun'!D3:E3,1,1)</f>
        <v>Book</v>
      </c>
      <c r="E3" s="196" t="str">
        <f>INDEX('Edit Sun'!E3:F3,1,1)</f>
        <v>Chapter</v>
      </c>
    </row>
    <row r="4" spans="1:7">
      <c r="A4" s="112">
        <f>INDEX('Edit Sun'!A4:B4,1,1)</f>
        <v>46026</v>
      </c>
      <c r="B4" s="196">
        <f>INDEX('Edit Sun'!B4:C4,1,1)</f>
        <v>0</v>
      </c>
      <c r="C4" s="196">
        <f>INDEX('Edit Sun'!C4:D4,1,1)</f>
        <v>0</v>
      </c>
      <c r="D4" s="196" t="str">
        <f>INDEX('Edit Sun'!D4:E4,1,1)</f>
        <v>Jude</v>
      </c>
      <c r="E4" s="196" t="str">
        <f>INDEX('Edit Sun'!E4:F4,1,1)</f>
        <v>1</v>
      </c>
    </row>
    <row r="5" spans="1:7">
      <c r="A5" s="112">
        <f>INDEX('Edit Sun'!A5:B5,1,1)</f>
        <v>46033</v>
      </c>
      <c r="B5" s="196">
        <f>INDEX('Edit Sun'!B5:C5,1,1)</f>
        <v>0</v>
      </c>
      <c r="C5" s="196">
        <f>INDEX('Edit Sun'!C5:D5,1,1)</f>
        <v>0</v>
      </c>
      <c r="D5" s="196" t="str">
        <f>INDEX('Edit Sun'!D5:E5,1,1)</f>
        <v>Revelation</v>
      </c>
      <c r="E5" s="196" t="str">
        <f>INDEX('Edit Sun'!E5:F5,1,1)</f>
        <v>1</v>
      </c>
    </row>
    <row r="6" spans="1:7">
      <c r="A6" s="112">
        <f>INDEX('Edit Sun'!A6:B6,1,1)</f>
        <v>46040</v>
      </c>
      <c r="B6" s="196">
        <f>INDEX('Edit Sun'!B6:C6,1,1)</f>
        <v>0</v>
      </c>
      <c r="C6" s="196">
        <f>INDEX('Edit Sun'!C6:D6,1,1)</f>
        <v>0</v>
      </c>
      <c r="D6" s="196" t="str">
        <f>INDEX('Edit Sun'!D6:E6,1,1)</f>
        <v>Revelation</v>
      </c>
      <c r="E6" s="196" t="str">
        <f>INDEX('Edit Sun'!E6:F6,1,1)</f>
        <v>2</v>
      </c>
    </row>
    <row r="7" spans="1:7">
      <c r="A7" s="112">
        <f>INDEX('Edit Sun'!A7:B7,1,1)</f>
        <v>46047</v>
      </c>
      <c r="B7" s="196">
        <f>INDEX('Edit Sun'!B7:C7,1,1)</f>
        <v>0</v>
      </c>
      <c r="C7" s="196">
        <f>INDEX('Edit Sun'!C7:D7,1,1)</f>
        <v>0</v>
      </c>
      <c r="D7" s="196" t="str">
        <f>INDEX('Edit Sun'!D7:E7,1,1)</f>
        <v>Revelation</v>
      </c>
      <c r="E7" s="196" t="str">
        <f>INDEX('Edit Sun'!E7:F7,1,1)</f>
        <v>3</v>
      </c>
    </row>
    <row r="8" spans="1:7" ht="37.5" customHeight="1">
      <c r="A8" s="112">
        <f>INDEX('Edit Sun'!A8:B8,1,1)</f>
        <v>46054</v>
      </c>
      <c r="B8" s="196" t="str">
        <f>INDEX('Edit Sun'!B8:C8,1,1)</f>
        <v>Effect of prosperity &amp; adversity</v>
      </c>
      <c r="C8" s="196" t="str">
        <f>INDEX('Edit Sun'!C8:D8,1,1)</f>
        <v>Deu 8:11-20; Job 1:1-3,14-22; Pro 30:8,9; Ecc 2:18-23; 9:11; Luk 12:16-21</v>
      </c>
      <c r="D8" s="196">
        <f>INDEX('Edit Sun'!D8:E8,1,1)</f>
        <v>0</v>
      </c>
      <c r="E8" s="196">
        <f>INDEX('Edit Sun'!E8:F8,1,1)</f>
        <v>0</v>
      </c>
    </row>
    <row r="9" spans="1:7" s="130" customFormat="1">
      <c r="A9" s="112">
        <f>INDEX('Edit Sun'!A9:B9,1,1)</f>
        <v>46061</v>
      </c>
      <c r="B9" s="196">
        <f>INDEX('Edit Sun'!B9:C9,1,1)</f>
        <v>0</v>
      </c>
      <c r="C9" s="196">
        <f>INDEX('Edit Sun'!C9:D9,1,1)</f>
        <v>0</v>
      </c>
      <c r="D9" s="196" t="str">
        <f>INDEX('Edit Sun'!D9:E9,1,1)</f>
        <v>Revelation</v>
      </c>
      <c r="E9" s="196" t="str">
        <f>INDEX('Edit Sun'!E9:F9,1,1)</f>
        <v>4</v>
      </c>
    </row>
    <row r="10" spans="1:7">
      <c r="A10" s="112">
        <f>INDEX('Edit Sun'!A10:B10,1,1)</f>
        <v>46068</v>
      </c>
      <c r="B10" s="196">
        <f>INDEX('Edit Sun'!B10:C10,1,1)</f>
        <v>0</v>
      </c>
      <c r="C10" s="196">
        <f>INDEX('Edit Sun'!C10:D10,1,1)</f>
        <v>0</v>
      </c>
      <c r="D10" s="196" t="str">
        <f>INDEX('Edit Sun'!D10:E10,1,1)</f>
        <v>Revelation</v>
      </c>
      <c r="E10" s="196" t="str">
        <f>INDEX('Edit Sun'!E10:F10,1,1)</f>
        <v>5</v>
      </c>
    </row>
    <row r="11" spans="1:7" ht="36.9" customHeight="1">
      <c r="A11" s="112">
        <f>INDEX('Edit Sun'!A11:B11,1,1)</f>
        <v>46075</v>
      </c>
      <c r="B11" s="196" t="str">
        <f>INDEX('Edit Sun'!B11:C11,1,1)</f>
        <v>God's ways past finding out</v>
      </c>
      <c r="C11" s="196" t="str">
        <f>INDEX('Edit Sun'!C11:D11,1,1)</f>
        <v>Exo 20:21; 33:20; Deu 5:22; Job 26:14; 33:13; Isa 55:9; Rom 11:33; 1Tim 6:15-16</v>
      </c>
      <c r="D11" s="196">
        <f>INDEX('Edit Sun'!D11:E11,1,1)</f>
        <v>0</v>
      </c>
      <c r="E11" s="196">
        <f>INDEX('Edit Sun'!E11:F11,1,1)</f>
        <v>0</v>
      </c>
    </row>
    <row r="12" spans="1:7">
      <c r="A12" s="112">
        <f>INDEX('Edit Sun'!A12:B12,1,1)</f>
        <v>46082</v>
      </c>
      <c r="B12" s="196">
        <f>INDEX('Edit Sun'!B12:C12,1,1)</f>
        <v>0</v>
      </c>
      <c r="C12" s="196">
        <f>INDEX('Edit Sun'!C12:D12,1,1)</f>
        <v>0</v>
      </c>
      <c r="D12" s="196" t="str">
        <f>INDEX('Edit Sun'!D12:E12,1,1)</f>
        <v>Revelation</v>
      </c>
      <c r="E12" s="196" t="str">
        <f>INDEX('Edit Sun'!E12:F12,1,1)</f>
        <v>6</v>
      </c>
    </row>
    <row r="13" spans="1:7">
      <c r="A13" s="112">
        <f>INDEX('Edit Sun'!A13:B13,1,1)</f>
        <v>46089</v>
      </c>
      <c r="B13" s="196">
        <f>INDEX('Edit Sun'!B13:C13,1,1)</f>
        <v>0</v>
      </c>
      <c r="C13" s="196">
        <f>INDEX('Edit Sun'!C13:D13,1,1)</f>
        <v>0</v>
      </c>
      <c r="D13" s="196" t="str">
        <f>INDEX('Edit Sun'!D13:E13,1,1)</f>
        <v>Revelation</v>
      </c>
      <c r="E13" s="196" t="str">
        <f>INDEX('Edit Sun'!E13:F13,1,1)</f>
        <v>7</v>
      </c>
      <c r="F13" s="65"/>
      <c r="G13" s="103"/>
    </row>
    <row r="14" spans="1:7" ht="36.9" customHeight="1">
      <c r="A14" s="112">
        <f>INDEX('Edit Sun'!A14:B14,1,1)</f>
        <v>46096</v>
      </c>
      <c r="B14" s="196" t="str">
        <f>INDEX('Edit Sun'!B14:C14,1,1)</f>
        <v>Joy of Salvation</v>
      </c>
      <c r="C14" s="196" t="str">
        <f>INDEX('Edit Sun'!C14:D14,1,1)</f>
        <v>1Sa 2:1-9; Ps 16:11; Mat 5:11,12; Joh 16:33; Act 5:41,42; 1Pe 1:6-9</v>
      </c>
      <c r="D14" s="196">
        <f>INDEX('Edit Sun'!D14:E14,1,1)</f>
        <v>0</v>
      </c>
      <c r="E14" s="196">
        <f>INDEX('Edit Sun'!E14:F14,1,1)</f>
        <v>0</v>
      </c>
      <c r="F14" s="201"/>
      <c r="G14" s="103"/>
    </row>
    <row r="15" spans="1:7">
      <c r="A15" s="112">
        <f>INDEX('Edit Sun'!A15:B15,1,1)</f>
        <v>46103</v>
      </c>
      <c r="B15" s="196">
        <f>INDEX('Edit Sun'!B15:C15,1,1)</f>
        <v>0</v>
      </c>
      <c r="C15" s="196">
        <f>INDEX('Edit Sun'!C15:D15,1,1)</f>
        <v>0</v>
      </c>
      <c r="D15" s="196" t="str">
        <f>INDEX('Edit Sun'!D15:E15,1,1)</f>
        <v>Revelation</v>
      </c>
      <c r="E15" s="196" t="str">
        <f>INDEX('Edit Sun'!E15:F15,1,1)</f>
        <v>8</v>
      </c>
      <c r="F15" s="65"/>
      <c r="G15" s="103"/>
    </row>
    <row r="16" spans="1:7" ht="17.399999999999999" customHeight="1">
      <c r="A16" s="112">
        <f>INDEX('Edit Sun'!A16:B16,1,1)</f>
        <v>46110</v>
      </c>
      <c r="B16" s="196">
        <f>INDEX('Edit Sun'!B16:C16,1,1)</f>
        <v>0</v>
      </c>
      <c r="C16" s="196">
        <f>INDEX('Edit Sun'!C16:D16,1,1)</f>
        <v>0</v>
      </c>
      <c r="D16" s="196" t="str">
        <f>INDEX('Edit Sun'!D16:E16,1,1)</f>
        <v>Revelation</v>
      </c>
      <c r="E16" s="196" t="str">
        <f>INDEX('Edit Sun'!E16:F16,1,1)</f>
        <v>9</v>
      </c>
      <c r="F16" s="65"/>
      <c r="G16" s="103"/>
    </row>
    <row r="17" spans="1:8" ht="33.9" customHeight="1">
      <c r="A17" s="112">
        <f>INDEX('Edit Sun'!A17:B17,1,1)</f>
        <v>46117</v>
      </c>
      <c r="B17" s="196" t="str">
        <f>INDEX('Edit Sun'!B17:C17,1,1)</f>
        <v>No way of escape</v>
      </c>
      <c r="C17" s="196" t="str">
        <f>INDEX('Edit Sun'!C17:D17,1,1)</f>
        <v>Exo 14:23-28; Num 22:32; Jos 13:22; Luk 16:24-29; Heb 2:1-4; 10:24-31; 12:17; 2Pe 2:4-6</v>
      </c>
      <c r="D17" s="196">
        <f>INDEX('Edit Sun'!D17:E17,1,1)</f>
        <v>0</v>
      </c>
      <c r="E17" s="196">
        <f>INDEX('Edit Sun'!E17:F17,1,1)</f>
        <v>0</v>
      </c>
      <c r="F17" s="201"/>
      <c r="G17" s="92"/>
    </row>
    <row r="18" spans="1:8">
      <c r="A18" s="112">
        <f>INDEX('Edit Sun'!A18:B18,1,1)</f>
        <v>46124</v>
      </c>
      <c r="B18" s="196">
        <f>INDEX('Edit Sun'!B18:C18,1,1)</f>
        <v>0</v>
      </c>
      <c r="C18" s="196">
        <f>INDEX('Edit Sun'!C18:D18,1,1)</f>
        <v>0</v>
      </c>
      <c r="D18" s="196" t="str">
        <f>INDEX('Edit Sun'!D18:E18,1,1)</f>
        <v>Revelation</v>
      </c>
      <c r="E18" s="196" t="str">
        <f>INDEX('Edit Sun'!E18:F18,1,1)</f>
        <v>10</v>
      </c>
      <c r="F18" s="65"/>
      <c r="G18" s="103"/>
      <c r="H18" s="6"/>
    </row>
    <row r="19" spans="1:8">
      <c r="A19" s="112">
        <f>INDEX('Edit Sun'!A19:B19,1,1)</f>
        <v>46131</v>
      </c>
      <c r="B19" s="196">
        <f>INDEX('Edit Sun'!B19:C19,1,1)</f>
        <v>0</v>
      </c>
      <c r="C19" s="196">
        <f>INDEX('Edit Sun'!C19:D19,1,1)</f>
        <v>0</v>
      </c>
      <c r="D19" s="196" t="str">
        <f>INDEX('Edit Sun'!D19:E19,1,1)</f>
        <v>Revelation</v>
      </c>
      <c r="E19" s="196" t="str">
        <f>INDEX('Edit Sun'!E19:F19,1,1)</f>
        <v>11</v>
      </c>
      <c r="F19" s="65"/>
      <c r="G19" s="103"/>
    </row>
    <row r="20" spans="1:8" ht="38.15" customHeight="1">
      <c r="A20" s="112">
        <f>INDEX('Edit Sun'!A20:B20,1,1)</f>
        <v>46138</v>
      </c>
      <c r="B20" s="196" t="str">
        <f>INDEX('Edit Sun'!B20:C20,1,1)</f>
        <v>Special privileges we enjoy</v>
      </c>
      <c r="C20" s="196" t="str">
        <f>INDEX('Edit Sun'!C20:D20,1,1)</f>
        <v>Mat 13:10-12; Luk 10:21-24; Joh 14:16-18; Rom 5:1-6; 1Co 2:9-12; 1Jo 2:18-21; 3:1-2</v>
      </c>
      <c r="D20" s="196">
        <f>INDEX('Edit Sun'!D20:E20,1,1)</f>
        <v>0</v>
      </c>
      <c r="E20" s="196">
        <f>INDEX('Edit Sun'!E20:F20,1,1)</f>
        <v>0</v>
      </c>
      <c r="F20" s="65"/>
      <c r="G20" s="103"/>
    </row>
    <row r="21" spans="1:8">
      <c r="A21" s="112">
        <f>INDEX('Edit Sun'!A21:B21,1,1)</f>
        <v>46145</v>
      </c>
      <c r="B21" s="196">
        <f>INDEX('Edit Sun'!B21:C21,1,1)</f>
        <v>0</v>
      </c>
      <c r="C21" s="196">
        <f>INDEX('Edit Sun'!C21:D21,1,1)</f>
        <v>0</v>
      </c>
      <c r="D21" s="196" t="str">
        <f>INDEX('Edit Sun'!D21:E21,1,1)</f>
        <v>Revelation</v>
      </c>
      <c r="E21" s="196" t="str">
        <f>INDEX('Edit Sun'!E21:F21,1,1)</f>
        <v>12</v>
      </c>
    </row>
    <row r="22" spans="1:8">
      <c r="A22" s="112">
        <f>INDEX('Edit Sun'!A22:B22,1,1)</f>
        <v>46152</v>
      </c>
      <c r="B22" s="196">
        <f>INDEX('Edit Sun'!B22:C22,1,1)</f>
        <v>0</v>
      </c>
      <c r="C22" s="196">
        <f>INDEX('Edit Sun'!C22:D22,1,1)</f>
        <v>0</v>
      </c>
      <c r="D22" s="196" t="str">
        <f>INDEX('Edit Sun'!D22:E22,1,1)</f>
        <v>Revelation</v>
      </c>
      <c r="E22" s="196" t="str">
        <f>INDEX('Edit Sun'!E22:F22,1,1)</f>
        <v>13</v>
      </c>
    </row>
    <row r="23" spans="1:8" ht="30" customHeight="1">
      <c r="A23" s="112">
        <f>INDEX('Edit Sun'!A23:B23,1,1)</f>
        <v>46159</v>
      </c>
      <c r="B23" s="196" t="str">
        <f>INDEX('Edit Sun'!B23:C23,1,1)</f>
        <v>Convincing Examples</v>
      </c>
      <c r="C23" s="196" t="str">
        <f>INDEX('Edit Sun'!C23:D23,1,1)</f>
        <v>Rth 1:15-18; 2Ki 2:9,10; 5:1-4; Mat 5:13–16; Luk 22:10; Joh 12:3; 2Co 2:14-16; Heb 12:1,2</v>
      </c>
      <c r="D23" s="196">
        <f>INDEX('Edit Sun'!D23:E23,1,1)</f>
        <v>0</v>
      </c>
      <c r="E23" s="196">
        <f>INDEX('Edit Sun'!E23:F23,1,1)</f>
        <v>0</v>
      </c>
    </row>
    <row r="24" spans="1:8">
      <c r="A24" s="112">
        <f>INDEX('Edit Sun'!A24:B24,1,1)</f>
        <v>46166</v>
      </c>
      <c r="B24" s="196">
        <f>INDEX('Edit Sun'!B24:C24,1,1)</f>
        <v>0</v>
      </c>
      <c r="C24" s="196">
        <f>INDEX('Edit Sun'!C24:D24,1,1)</f>
        <v>0</v>
      </c>
      <c r="D24" s="196" t="str">
        <f>INDEX('Edit Sun'!D24:E24,1,1)</f>
        <v>Revelation</v>
      </c>
      <c r="E24" s="196" t="str">
        <f>INDEX('Edit Sun'!E24:F24,1,1)</f>
        <v>14</v>
      </c>
      <c r="F24" s="201"/>
      <c r="G24" s="92"/>
    </row>
    <row r="25" spans="1:8">
      <c r="A25" s="112">
        <f>INDEX('Edit Sun'!A25:B25,1,1)</f>
        <v>46173</v>
      </c>
      <c r="B25" s="196">
        <f>INDEX('Edit Sun'!B25:C25,1,1)</f>
        <v>0</v>
      </c>
      <c r="C25" s="196">
        <f>INDEX('Edit Sun'!C25:D25,1,1)</f>
        <v>0</v>
      </c>
      <c r="D25" s="196" t="str">
        <f>INDEX('Edit Sun'!D25:E25,1,1)</f>
        <v>Revelation</v>
      </c>
      <c r="E25" s="196" t="str">
        <f>INDEX('Edit Sun'!E25:F25,1,1)</f>
        <v>15</v>
      </c>
    </row>
    <row r="26" spans="1:8" ht="34.5" customHeight="1">
      <c r="A26" s="112">
        <f>INDEX('Edit Sun'!A26:B26,1,1)</f>
        <v>46180</v>
      </c>
      <c r="B26" s="196" t="str">
        <f>INDEX('Edit Sun'!B26:C26,1,1)</f>
        <v>Jesus' responses</v>
      </c>
      <c r="C26" s="196" t="str">
        <f>INDEX('Edit Sun'!C26:D26,1,1)</f>
        <v>Mat 16:21-23; 18:21-35; 19:13-15; 26:8-10; Mar 9:33-37; Luk 19:37-44; Joh 6:15; 18:10-11</v>
      </c>
      <c r="D26" s="196">
        <f>INDEX('Edit Sun'!D26:E26,1,1)</f>
        <v>0</v>
      </c>
      <c r="E26" s="196">
        <f>INDEX('Edit Sun'!E26:F26,1,1)</f>
        <v>0</v>
      </c>
    </row>
    <row r="27" spans="1:8">
      <c r="A27" s="112">
        <f>INDEX('Edit Sun'!A27:B27,1,1)</f>
        <v>46187</v>
      </c>
      <c r="B27" s="196">
        <f>INDEX('Edit Sun'!B27:C27,1,1)</f>
        <v>0</v>
      </c>
      <c r="C27" s="196">
        <f>INDEX('Edit Sun'!C27:D27,1,1)</f>
        <v>0</v>
      </c>
      <c r="D27" s="196" t="str">
        <f>INDEX('Edit Sun'!D27:E27,1,1)</f>
        <v>Revelation</v>
      </c>
      <c r="E27" s="196" t="str">
        <f>INDEX('Edit Sun'!E27:F27,1,1)</f>
        <v>16</v>
      </c>
    </row>
    <row r="28" spans="1:8">
      <c r="A28" s="112">
        <f>INDEX('Edit Sun'!A28:B28,1,1)</f>
        <v>46194</v>
      </c>
      <c r="B28" s="196">
        <f>INDEX('Edit Sun'!B28:C28,1,1)</f>
        <v>0</v>
      </c>
      <c r="C28" s="196">
        <f>INDEX('Edit Sun'!C28:D28,1,1)</f>
        <v>0</v>
      </c>
      <c r="D28" s="196" t="str">
        <f>INDEX('Edit Sun'!D28:E28,1,1)</f>
        <v>Revelation</v>
      </c>
      <c r="E28" s="196" t="str">
        <f>INDEX('Edit Sun'!E28:F28,1,1)</f>
        <v>17</v>
      </c>
    </row>
    <row r="29" spans="1:8" ht="32.15" customHeight="1">
      <c r="A29" s="112">
        <f>INDEX('Edit Sun'!A29:B29,1,1)</f>
        <v>46201</v>
      </c>
      <c r="B29" s="196" t="str">
        <f>INDEX('Edit Sun'!B29:C29,1,1)</f>
        <v>Christ's self-sacrificing love</v>
      </c>
      <c r="C29" s="196" t="str">
        <f>INDEX('Edit Sun'!C29:D29,1,1)</f>
        <v>Luk 19:10; 22:27; Joh 3:13-16; 6:51-58; 13:1-5; 15:13; 17:6-10; Php 2:5-8; Heb 2:9-10</v>
      </c>
      <c r="D29" s="196">
        <f>INDEX('Edit Sun'!D29:E29,1,1)</f>
        <v>0</v>
      </c>
      <c r="E29" s="196">
        <f>INDEX('Edit Sun'!E29:F29,1,1)</f>
        <v>0</v>
      </c>
    </row>
    <row r="30" spans="1:8">
      <c r="A30" s="112" t="str">
        <f>INDEX('Edit Sun'!A30:B30,1,1)</f>
        <v/>
      </c>
      <c r="B30" s="196">
        <f>INDEX('Edit Sun'!B30:C30,1,1)</f>
        <v>0</v>
      </c>
      <c r="C30" s="196">
        <f>INDEX('Edit Sun'!C30:D30,1,1)</f>
        <v>0</v>
      </c>
      <c r="D30" s="196">
        <f>INDEX('Edit Sun'!D30:E30,1,1)</f>
        <v>0</v>
      </c>
      <c r="E30" s="196">
        <f>INDEX('Edit Sun'!E30:F30,1,1)</f>
        <v>0</v>
      </c>
    </row>
    <row r="31" spans="1:8">
      <c r="A31" s="112">
        <f>INDEX('Edit Sun'!A31:B31,1,1)</f>
        <v>0</v>
      </c>
      <c r="B31" s="196">
        <f>INDEX('Edit Sun'!B31:C31,1,1)</f>
        <v>0</v>
      </c>
      <c r="C31" s="196">
        <f>INDEX('Edit Sun'!C31:D31,1,1)</f>
        <v>0</v>
      </c>
      <c r="D31" s="196">
        <f>INDEX('Edit Sun'!D31:E31,1,1)</f>
        <v>0</v>
      </c>
      <c r="E31" s="196">
        <f>INDEX('Edit Sun'!E31:F31,1,1)</f>
        <v>0</v>
      </c>
    </row>
    <row r="32" spans="1:8">
      <c r="A32" s="112">
        <f>INDEX('Edit Sun'!A32:B32,1,1)</f>
        <v>0</v>
      </c>
      <c r="B32" s="196">
        <f>INDEX('Edit Sun'!B32:C32,1,1)</f>
        <v>0</v>
      </c>
      <c r="C32" s="196">
        <f>INDEX('Edit Sun'!C32:D32,1,1)</f>
        <v>0</v>
      </c>
      <c r="D32" s="196">
        <f>INDEX('Edit Sun'!D32:E32,1,1)</f>
        <v>0</v>
      </c>
      <c r="E32" s="196">
        <f>INDEX('Edit Sun'!E32:F32,1,1)</f>
        <v>0</v>
      </c>
    </row>
    <row r="33" spans="1:5">
      <c r="A33" s="112">
        <f>INDEX('Edit Sun'!A33:B33,1,1)</f>
        <v>0</v>
      </c>
      <c r="B33" s="196">
        <f>INDEX('Edit Sun'!B33:C33,1,1)</f>
        <v>0</v>
      </c>
      <c r="C33" s="196">
        <f>INDEX('Edit Sun'!C33:D33,1,1)</f>
        <v>0</v>
      </c>
      <c r="D33" s="196">
        <f>INDEX('Edit Sun'!D33:E33,1,1)</f>
        <v>0</v>
      </c>
      <c r="E33" s="196">
        <f>INDEX('Edit Sun'!E33:F33,1,1)</f>
        <v>0</v>
      </c>
    </row>
    <row r="34" spans="1:5">
      <c r="A34" s="112">
        <f>INDEX('Edit Sun'!A34:B34,1,1)</f>
        <v>46208</v>
      </c>
      <c r="B34" s="196">
        <f>INDEX('Edit Sun'!B34:C34,1,1)</f>
        <v>0</v>
      </c>
      <c r="C34" s="196">
        <f>INDEX('Edit Sun'!C34:D34,1,1)</f>
        <v>0</v>
      </c>
      <c r="D34" s="196" t="str">
        <f>INDEX('Edit Sun'!D34:E34,1,1)</f>
        <v>Revelation</v>
      </c>
      <c r="E34" s="196" t="str">
        <f>INDEX('Edit Sun'!E34:F34,1,1)</f>
        <v>18</v>
      </c>
    </row>
    <row r="35" spans="1:5">
      <c r="A35" s="112">
        <f>INDEX('Edit Sun'!A35:B35,1,1)</f>
        <v>46215</v>
      </c>
      <c r="B35" s="196">
        <f>INDEX('Edit Sun'!B35:C35,1,1)</f>
        <v>0</v>
      </c>
      <c r="C35" s="196">
        <f>INDEX('Edit Sun'!C35:D35,1,1)</f>
        <v>0</v>
      </c>
      <c r="D35" s="196" t="str">
        <f>INDEX('Edit Sun'!D35:E35,1,1)</f>
        <v>Revelation</v>
      </c>
      <c r="E35" s="196" t="str">
        <f>INDEX('Edit Sun'!E35:F35,1,1)</f>
        <v>19</v>
      </c>
    </row>
    <row r="36" spans="1:5" ht="34.5" customHeight="1">
      <c r="A36" s="112">
        <f>INDEX('Edit Sun'!A36:B36,1,1)</f>
        <v>46222</v>
      </c>
      <c r="B36" s="196" t="str">
        <f>INDEX('Edit Sun'!B36:C36,1,1)</f>
        <v>Stability in unsettling times</v>
      </c>
      <c r="C36" s="196" t="str">
        <f>INDEX('Edit Sun'!C36:D36,1,1)</f>
        <v>Job 34:29; Joh 14:1,27; 16:20-22, 33; Rom 8:38,39; 1Co 15:58; Eph 3:16-21; Php 4:7,8; 1Pe 5:10</v>
      </c>
      <c r="D36" s="196">
        <f>INDEX('Edit Sun'!D36:E36,1,1)</f>
        <v>0</v>
      </c>
      <c r="E36" s="196">
        <f>INDEX('Edit Sun'!E36:F36,1,1)</f>
        <v>0</v>
      </c>
    </row>
    <row r="37" spans="1:5">
      <c r="A37" s="112">
        <f>INDEX('Edit Sun'!A37:B37,1,1)</f>
        <v>46229</v>
      </c>
      <c r="B37" s="196">
        <f>INDEX('Edit Sun'!B37:C37,1,1)</f>
        <v>0</v>
      </c>
      <c r="C37" s="196">
        <f>INDEX('Edit Sun'!C37:D37,1,1)</f>
        <v>0</v>
      </c>
      <c r="D37" s="196" t="str">
        <f>INDEX('Edit Sun'!D37:E37,1,1)</f>
        <v>Revelation</v>
      </c>
      <c r="E37" s="196" t="str">
        <f>INDEX('Edit Sun'!E37:F37,1,1)</f>
        <v>20</v>
      </c>
    </row>
    <row r="38" spans="1:5">
      <c r="A38" s="112">
        <f>INDEX('Edit Sun'!A38:B38,1,1)</f>
        <v>46236</v>
      </c>
      <c r="B38" s="196">
        <f>INDEX('Edit Sun'!B38:C38,1,1)</f>
        <v>0</v>
      </c>
      <c r="C38" s="196">
        <f>INDEX('Edit Sun'!C38:D38,1,1)</f>
        <v>0</v>
      </c>
      <c r="D38" s="196" t="str">
        <f>INDEX('Edit Sun'!D38:E38,1,1)</f>
        <v>Revelation</v>
      </c>
      <c r="E38" s="196" t="str">
        <f>INDEX('Edit Sun'!E38:F38,1,1)</f>
        <v>21</v>
      </c>
    </row>
    <row r="39" spans="1:5">
      <c r="A39" s="112">
        <f>INDEX('Edit Sun'!A39:B39,1,1)</f>
        <v>46243</v>
      </c>
      <c r="B39" s="196">
        <f>INDEX('Edit Sun'!B39:C39,1,1)</f>
        <v>0</v>
      </c>
      <c r="C39" s="196">
        <f>INDEX('Edit Sun'!C39:D39,1,1)</f>
        <v>0</v>
      </c>
      <c r="D39" s="196" t="str">
        <f>INDEX('Edit Sun'!D39:E39,1,1)</f>
        <v>Revelation</v>
      </c>
      <c r="E39" s="196" t="str">
        <f>INDEX('Edit Sun'!E39:F39,1,1)</f>
        <v>22</v>
      </c>
    </row>
    <row r="40" spans="1:5">
      <c r="A40" s="112">
        <f>INDEX('Edit Sun'!A40:B40,1,1)</f>
        <v>46250</v>
      </c>
      <c r="B40" s="196">
        <f>INDEX('Edit Sun'!B40:C40,1,1)</f>
        <v>0</v>
      </c>
      <c r="C40" s="196">
        <f>INDEX('Edit Sun'!C40:D40,1,1)</f>
        <v>0</v>
      </c>
      <c r="D40" s="196" t="str">
        <f>INDEX('Edit Sun'!D40:E40,1,1)</f>
        <v>Matthew</v>
      </c>
      <c r="E40" s="196" t="str">
        <f>INDEX('Edit Sun'!E40:F40,1,1)</f>
        <v>1 &amp; 2</v>
      </c>
    </row>
    <row r="41" spans="1:5">
      <c r="A41" s="112">
        <f>INDEX('Edit Sun'!A41:B41,1,1)</f>
        <v>46257</v>
      </c>
      <c r="B41" s="196">
        <f>INDEX('Edit Sun'!B41:C41,1,1)</f>
        <v>0</v>
      </c>
      <c r="C41" s="196">
        <f>INDEX('Edit Sun'!C41:D41,1,1)</f>
        <v>0</v>
      </c>
      <c r="D41" s="196" t="str">
        <f>INDEX('Edit Sun'!D41:E41,1,1)</f>
        <v>Matthew</v>
      </c>
      <c r="E41" s="196" t="str">
        <f>INDEX('Edit Sun'!E41:F41,1,1)</f>
        <v>3</v>
      </c>
    </row>
    <row r="42" spans="1:5">
      <c r="A42" s="112">
        <f>INDEX('Edit Sun'!A42:B42,1,1)</f>
        <v>46264</v>
      </c>
      <c r="B42" s="196">
        <f>INDEX('Edit Sun'!B42:C42,1,1)</f>
        <v>0</v>
      </c>
      <c r="C42" s="196">
        <f>INDEX('Edit Sun'!C42:D42,1,1)</f>
        <v>0</v>
      </c>
      <c r="D42" s="196" t="str">
        <f>INDEX('Edit Sun'!D42:E42,1,1)</f>
        <v>Matthew</v>
      </c>
      <c r="E42" s="196" t="str">
        <f>INDEX('Edit Sun'!E42:F42,1,1)</f>
        <v>4</v>
      </c>
    </row>
    <row r="43" spans="1:5">
      <c r="A43" s="112">
        <f>INDEX('Edit Sun'!A43:B43,1,1)</f>
        <v>46271</v>
      </c>
      <c r="B43" s="196">
        <f>INDEX('Edit Sun'!B43:C43,1,1)</f>
        <v>0</v>
      </c>
      <c r="C43" s="196">
        <f>INDEX('Edit Sun'!C43:D43,1,1)</f>
        <v>0</v>
      </c>
      <c r="D43" s="196" t="str">
        <f>INDEX('Edit Sun'!D43:E43,1,1)</f>
        <v>Matthew</v>
      </c>
      <c r="E43" s="196" t="str">
        <f>INDEX('Edit Sun'!E43:F43,1,1)</f>
        <v>5</v>
      </c>
    </row>
    <row r="44" spans="1:5">
      <c r="A44" s="112">
        <f>INDEX('Edit Sun'!A44:B44,1,1)</f>
        <v>46278</v>
      </c>
      <c r="B44" s="196">
        <f>INDEX('Edit Sun'!B44:C44,1,1)</f>
        <v>0</v>
      </c>
      <c r="C44" s="196">
        <f>INDEX('Edit Sun'!C44:D44,1,1)</f>
        <v>0</v>
      </c>
      <c r="D44" s="196" t="str">
        <f>INDEX('Edit Sun'!D44:E44,1,1)</f>
        <v>Matthew</v>
      </c>
      <c r="E44" s="196" t="str">
        <f>INDEX('Edit Sun'!E44:F44,1,1)</f>
        <v>6</v>
      </c>
    </row>
    <row r="45" spans="1:5" ht="38.15" customHeight="1">
      <c r="A45" s="112">
        <f>INDEX('Edit Sun'!A45:B45,1,1)</f>
        <v>46285</v>
      </c>
      <c r="B45" s="196" t="str">
        <f>INDEX('Edit Sun'!B45:C45,1,1)</f>
        <v>Daily struggles</v>
      </c>
      <c r="C45" s="196" t="str">
        <f>INDEX('Edit Sun'!C45:D45,1,1)</f>
        <v xml:space="preserve">Isa 28:6; Mar 6:48; Luk 9:23; 13:24; Php 1:27; 1Tim 6:11–12; 2Tim 3:1-5; Heb 12:4
</v>
      </c>
      <c r="D45" s="196">
        <f>INDEX('Edit Sun'!D45:E45,1,1)</f>
        <v>0</v>
      </c>
      <c r="E45" s="196">
        <f>INDEX('Edit Sun'!E45:F45,1,1)</f>
        <v>0</v>
      </c>
    </row>
    <row r="46" spans="1:5">
      <c r="A46" s="112">
        <f>INDEX('Edit Sun'!A46:B46,1,1)</f>
        <v>46292</v>
      </c>
      <c r="B46" s="196">
        <f>INDEX('Edit Sun'!B46:C46,1,1)</f>
        <v>0</v>
      </c>
      <c r="C46" s="196">
        <f>INDEX('Edit Sun'!C46:D46,1,1)</f>
        <v>0</v>
      </c>
      <c r="D46" s="196" t="str">
        <f>INDEX('Edit Sun'!D46:E46,1,1)</f>
        <v>Matthew</v>
      </c>
      <c r="E46" s="196" t="str">
        <f>INDEX('Edit Sun'!E46:F46,1,1)</f>
        <v>7</v>
      </c>
    </row>
    <row r="47" spans="1:5">
      <c r="A47" s="112">
        <f>INDEX('Edit Sun'!A47:B47,1,1)</f>
        <v>46299</v>
      </c>
      <c r="B47" s="196">
        <f>INDEX('Edit Sun'!B47:C47,1,1)</f>
        <v>0</v>
      </c>
      <c r="C47" s="196">
        <f>INDEX('Edit Sun'!C47:D47,1,1)</f>
        <v>0</v>
      </c>
      <c r="D47" s="196" t="str">
        <f>INDEX('Edit Sun'!D47:E47,1,1)</f>
        <v>Matthew</v>
      </c>
      <c r="E47" s="196" t="str">
        <f>INDEX('Edit Sun'!E47:F47,1,1)</f>
        <v>8</v>
      </c>
    </row>
    <row r="48" spans="1:5" ht="32.4" customHeight="1">
      <c r="A48" s="112">
        <f>INDEX('Edit Sun'!A48:B48,1,1)</f>
        <v>46306</v>
      </c>
      <c r="B48" s="196" t="str">
        <f>INDEX('Edit Sun'!B48:C48,1,1)</f>
        <v>Abundant Life</v>
      </c>
      <c r="C48" s="196" t="str">
        <f>INDEX('Edit Sun'!C48:D48,1,1)</f>
        <v>Ps 36:8-10; Joh 10:10; Rom. 8:32; 2Co 9:8,15; Eph 3:17-21; Col 2:9,10; 2Pe 1:4,11</v>
      </c>
      <c r="D48" s="196">
        <f>INDEX('Edit Sun'!D48:E48,1,1)</f>
        <v>0</v>
      </c>
      <c r="E48" s="196">
        <f>INDEX('Edit Sun'!E48:F48,1,1)</f>
        <v>0</v>
      </c>
    </row>
    <row r="49" spans="1:5">
      <c r="A49" s="112">
        <f>INDEX('Edit Sun'!A49:B49,1,1)</f>
        <v>46313</v>
      </c>
      <c r="B49" s="196">
        <f>INDEX('Edit Sun'!B49:C49,1,1)</f>
        <v>0</v>
      </c>
      <c r="C49" s="196">
        <f>INDEX('Edit Sun'!C49:D49,1,1)</f>
        <v>0</v>
      </c>
      <c r="D49" s="196" t="str">
        <f>INDEX('Edit Sun'!D49:E49,1,1)</f>
        <v>Matthew</v>
      </c>
      <c r="E49" s="196" t="str">
        <f>INDEX('Edit Sun'!E49:F49,1,1)</f>
        <v>9</v>
      </c>
    </row>
    <row r="50" spans="1:5">
      <c r="A50" s="112">
        <f>INDEX('Edit Sun'!A50:B50,1,1)</f>
        <v>46320</v>
      </c>
      <c r="B50" s="196">
        <f>INDEX('Edit Sun'!B50:C50,1,1)</f>
        <v>0</v>
      </c>
      <c r="C50" s="196">
        <f>INDEX('Edit Sun'!C50:D50,1,1)</f>
        <v>0</v>
      </c>
      <c r="D50" s="196" t="str">
        <f>INDEX('Edit Sun'!D50:E50,1,1)</f>
        <v>Matthew</v>
      </c>
      <c r="E50" s="196" t="str">
        <f>INDEX('Edit Sun'!E50:F50,1,1)</f>
        <v>10</v>
      </c>
    </row>
    <row r="51" spans="1:5" ht="32.4" customHeight="1">
      <c r="A51" s="112">
        <f>INDEX('Edit Sun'!A51:B51,1,1)</f>
        <v>46327</v>
      </c>
      <c r="B51" s="196" t="str">
        <f>INDEX('Edit Sun'!B51:C51,1,1)</f>
        <v>Beauty of simplicity</v>
      </c>
      <c r="C51" s="196" t="str">
        <f>INDEX('Edit Sun'!C51:D51,1,1)</f>
        <v>Ps 131:1-2;  Isa 52:7; Mat 5:3; 11:25; 21:16; Mar 10:14-15; Luk 2:6-20; Rom 16:19,20; 2Co 1:12</v>
      </c>
      <c r="D51" s="196">
        <f>INDEX('Edit Sun'!D51:E51,1,1)</f>
        <v>0</v>
      </c>
      <c r="E51" s="196">
        <f>INDEX('Edit Sun'!E51:F51,1,1)</f>
        <v>0</v>
      </c>
    </row>
    <row r="52" spans="1:5">
      <c r="A52" s="112">
        <f>INDEX('Edit Sun'!A52:B52,1,1)</f>
        <v>46334</v>
      </c>
      <c r="B52" s="196">
        <f>INDEX('Edit Sun'!B52:C52,1,1)</f>
        <v>0</v>
      </c>
      <c r="C52" s="196">
        <f>INDEX('Edit Sun'!C52:D52,1,1)</f>
        <v>0</v>
      </c>
      <c r="D52" s="196" t="str">
        <f>INDEX('Edit Sun'!D52:E52,1,1)</f>
        <v>Matthew</v>
      </c>
      <c r="E52" s="196" t="str">
        <f>INDEX('Edit Sun'!E52:F52,1,1)</f>
        <v>11</v>
      </c>
    </row>
    <row r="53" spans="1:5">
      <c r="A53" s="112">
        <f>INDEX('Edit Sun'!A53:B53,1,1)</f>
        <v>46341</v>
      </c>
      <c r="B53" s="196">
        <f>INDEX('Edit Sun'!B53:C53,1,1)</f>
        <v>0</v>
      </c>
      <c r="C53" s="196">
        <f>INDEX('Edit Sun'!C53:D53,1,1)</f>
        <v>0</v>
      </c>
      <c r="D53" s="196" t="str">
        <f>INDEX('Edit Sun'!D53:E53,1,1)</f>
        <v>Matthew</v>
      </c>
      <c r="E53" s="196" t="str">
        <f>INDEX('Edit Sun'!E53:F53,1,1)</f>
        <v>12</v>
      </c>
    </row>
    <row r="54" spans="1:5">
      <c r="A54" s="112">
        <f>INDEX('Edit Sun'!A54:B54,1,1)</f>
        <v>46348</v>
      </c>
      <c r="B54" s="196">
        <f>INDEX('Edit Sun'!B54:C54,1,1)</f>
        <v>0</v>
      </c>
      <c r="C54" s="196">
        <f>INDEX('Edit Sun'!C54:D54,1,1)</f>
        <v>0</v>
      </c>
      <c r="D54" s="196" t="str">
        <f>INDEX('Edit Sun'!D54:E54,1,1)</f>
        <v>Matthew</v>
      </c>
      <c r="E54" s="196" t="str">
        <f>INDEX('Edit Sun'!E54:F54,1,1)</f>
        <v>13</v>
      </c>
    </row>
    <row r="55" spans="1:5">
      <c r="A55" s="112">
        <f>INDEX('Edit Sun'!A55:B55,1,1)</f>
        <v>46355</v>
      </c>
      <c r="B55" s="196">
        <f>INDEX('Edit Sun'!B55:C55,1,1)</f>
        <v>0</v>
      </c>
      <c r="C55" s="196">
        <f>INDEX('Edit Sun'!C55:D55,1,1)</f>
        <v>0</v>
      </c>
      <c r="D55" s="196" t="str">
        <f>INDEX('Edit Sun'!D55:E55,1,1)</f>
        <v>Matthew</v>
      </c>
      <c r="E55" s="196" t="str">
        <f>INDEX('Edit Sun'!E55:F55,1,1)</f>
        <v>14</v>
      </c>
    </row>
    <row r="56" spans="1:5">
      <c r="A56" s="112">
        <f>INDEX('Edit Sun'!A56:B56,1,1)</f>
        <v>46362</v>
      </c>
      <c r="B56" s="196">
        <f>INDEX('Edit Sun'!B56:C56,1,1)</f>
        <v>0</v>
      </c>
      <c r="C56" s="196">
        <f>INDEX('Edit Sun'!C56:D56,1,1)</f>
        <v>0</v>
      </c>
      <c r="D56" s="196" t="str">
        <f>INDEX('Edit Sun'!D56:E56,1,1)</f>
        <v>Matthew</v>
      </c>
      <c r="E56" s="196" t="str">
        <f>INDEX('Edit Sun'!E56:F56,1,1)</f>
        <v>15</v>
      </c>
    </row>
    <row r="57" spans="1:5">
      <c r="A57" s="112">
        <f>INDEX('Edit Sun'!A57:B57,1,1)</f>
        <v>46369</v>
      </c>
      <c r="B57" s="196">
        <f>INDEX('Edit Sun'!B57:C57,1,1)</f>
        <v>0</v>
      </c>
      <c r="C57" s="196">
        <f>INDEX('Edit Sun'!C57:D57,1,1)</f>
        <v>0</v>
      </c>
      <c r="D57" s="196" t="str">
        <f>INDEX('Edit Sun'!D57:E57,1,1)</f>
        <v>Matthew</v>
      </c>
      <c r="E57" s="196" t="str">
        <f>INDEX('Edit Sun'!E57:F57,1,1)</f>
        <v>16</v>
      </c>
    </row>
    <row r="58" spans="1:5">
      <c r="A58" s="112">
        <f>INDEX('Edit Sun'!A58:B58,1,1)</f>
        <v>46376</v>
      </c>
      <c r="B58" s="196">
        <f>INDEX('Edit Sun'!B58:C58,1,1)</f>
        <v>0</v>
      </c>
      <c r="C58" s="196">
        <f>INDEX('Edit Sun'!C58:D58,1,1)</f>
        <v>0</v>
      </c>
      <c r="D58" s="196" t="str">
        <f>INDEX('Edit Sun'!D58:E58,1,1)</f>
        <v>Matthew</v>
      </c>
      <c r="E58" s="196" t="str">
        <f>INDEX('Edit Sun'!E58:F58,1,1)</f>
        <v>17</v>
      </c>
    </row>
    <row r="59" spans="1:5">
      <c r="A59" s="112">
        <f>INDEX('Edit Sun'!A59:B59,1,1)</f>
        <v>46383</v>
      </c>
      <c r="B59" s="196">
        <f>INDEX('Edit Sun'!B59:C59,1,1)</f>
        <v>0</v>
      </c>
      <c r="C59" s="196">
        <f>INDEX('Edit Sun'!C59:D59,1,1)</f>
        <v>0</v>
      </c>
      <c r="D59" s="196" t="str">
        <f>INDEX('Edit Sun'!D59:E59,1,1)</f>
        <v>Matthew</v>
      </c>
      <c r="E59" s="196" t="str">
        <f>INDEX('Edit Sun'!E59:F59,1,1)</f>
        <v>18</v>
      </c>
    </row>
    <row r="60" spans="1:5">
      <c r="A60" s="112"/>
      <c r="B60" s="196"/>
      <c r="C60" s="196"/>
      <c r="D60" s="196"/>
      <c r="E60" s="196"/>
    </row>
    <row r="61" spans="1:5">
      <c r="B61" s="85"/>
      <c r="C61" s="103"/>
      <c r="D61" s="65"/>
      <c r="E61" s="103"/>
    </row>
    <row r="62" spans="1:5" ht="15.5">
      <c r="B62" s="153"/>
      <c r="C62" s="103"/>
      <c r="D62" s="67"/>
      <c r="E62" s="103"/>
    </row>
    <row r="63" spans="1:5" ht="41.4" customHeight="1">
      <c r="B63" s="85"/>
      <c r="C63" s="103"/>
      <c r="D63" s="67"/>
      <c r="E63" s="103"/>
    </row>
    <row r="64" spans="1:5" ht="41.4" customHeight="1">
      <c r="B64" s="85"/>
      <c r="C64" s="103"/>
      <c r="D64" s="65"/>
      <c r="E64" s="103"/>
    </row>
    <row r="65" spans="2:5" ht="41.4" customHeight="1">
      <c r="B65" s="153"/>
      <c r="C65" s="103"/>
      <c r="D65" s="67"/>
      <c r="E65" s="103"/>
    </row>
    <row r="66" spans="2:5" ht="15.5">
      <c r="B66" s="85"/>
      <c r="C66" s="103"/>
      <c r="D66" s="67"/>
      <c r="E66" s="103"/>
    </row>
    <row r="67" spans="2:5">
      <c r="B67" s="85"/>
      <c r="C67" s="103"/>
      <c r="D67" s="65"/>
      <c r="E67" s="103"/>
    </row>
    <row r="68" spans="2:5" ht="15.5">
      <c r="B68" s="153"/>
      <c r="C68" s="103"/>
      <c r="D68" s="67"/>
      <c r="E68" s="103"/>
    </row>
    <row r="69" spans="2:5">
      <c r="B69" s="85"/>
      <c r="C69" s="103"/>
      <c r="D69" s="65"/>
      <c r="E69" s="103"/>
    </row>
    <row r="70" spans="2:5">
      <c r="B70" s="85"/>
      <c r="C70" s="103"/>
      <c r="D70" s="65"/>
      <c r="E70" s="103"/>
    </row>
    <row r="71" spans="2:5">
      <c r="B71" s="85"/>
      <c r="C71" s="103"/>
      <c r="D71" s="65"/>
      <c r="E71" s="103"/>
    </row>
    <row r="72" spans="2:5">
      <c r="B72" s="85"/>
      <c r="C72" s="103"/>
      <c r="D72" s="65"/>
      <c r="E72" s="103"/>
    </row>
    <row r="73" spans="2:5">
      <c r="B73" s="85"/>
      <c r="C73" s="103"/>
      <c r="D73" s="65"/>
      <c r="E73" s="103"/>
    </row>
    <row r="74" spans="2:5">
      <c r="B74" s="85"/>
      <c r="C74" s="103"/>
      <c r="D74" s="65"/>
      <c r="E74" s="103"/>
    </row>
    <row r="75" spans="2:5">
      <c r="B75" s="85"/>
      <c r="C75" s="103"/>
      <c r="D75" s="65"/>
      <c r="E75" s="103"/>
    </row>
    <row r="76" spans="2:5">
      <c r="B76" s="85"/>
      <c r="C76" s="103"/>
      <c r="D76" s="65"/>
      <c r="E76" s="103"/>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Sheet2">
    <pageSetUpPr fitToPage="1"/>
  </sheetPr>
  <dimension ref="B1:AL61"/>
  <sheetViews>
    <sheetView topLeftCell="X51" zoomScale="70" zoomScaleNormal="70" workbookViewId="0">
      <selection activeCell="Z4" sqref="Z4:Z60"/>
    </sheetView>
  </sheetViews>
  <sheetFormatPr defaultColWidth="9.08984375" defaultRowHeight="15.5"/>
  <cols>
    <col min="1" max="1" width="8.90625" style="1" customWidth="1"/>
    <col min="2" max="2" width="6.1796875" style="1" bestFit="1" customWidth="1"/>
    <col min="3" max="3" width="4.453125" style="1" bestFit="1" customWidth="1"/>
    <col min="4" max="4" width="13.453125" style="1" bestFit="1" customWidth="1"/>
    <col min="5" max="5" width="13.54296875" style="1" customWidth="1"/>
    <col min="6" max="6" width="55.08984375" style="1" customWidth="1"/>
    <col min="7" max="7" width="9.08984375" style="1" bestFit="1" customWidth="1"/>
    <col min="8" max="8" width="2.54296875" style="1" customWidth="1"/>
    <col min="9" max="9" width="45.1796875" style="2" customWidth="1"/>
    <col min="10" max="14" width="9"/>
    <col min="15" max="15" width="14.453125" style="2" customWidth="1"/>
    <col min="16" max="16" width="30.81640625" style="2" customWidth="1"/>
    <col min="17" max="17" width="66" style="2" customWidth="1"/>
    <col min="18" max="18" width="16.1796875" style="2" customWidth="1"/>
    <col min="19" max="19" width="86" style="11" customWidth="1"/>
    <col min="20" max="20" width="5.08984375" style="2" customWidth="1"/>
    <col min="21" max="21" width="15.54296875" style="2" customWidth="1"/>
    <col min="22" max="22" width="13.90625" style="1" customWidth="1"/>
    <col min="23" max="23" width="30.81640625" style="1" customWidth="1"/>
    <col min="24" max="24" width="78" style="15" customWidth="1"/>
    <col min="25" max="25" width="39" style="15" customWidth="1"/>
    <col min="26" max="26" width="77.1796875" style="15" customWidth="1"/>
    <col min="27" max="48" width="41" style="1" customWidth="1"/>
    <col min="49" max="16384" width="9.08984375" style="1"/>
  </cols>
  <sheetData>
    <row r="1" spans="2:26" ht="22.5" thickBot="1">
      <c r="C1" s="257" t="s">
        <v>951</v>
      </c>
      <c r="D1" s="257"/>
      <c r="E1" s="257"/>
      <c r="F1" s="257"/>
    </row>
    <row r="2" spans="2:26" ht="48.9" customHeight="1" thickBot="1">
      <c r="B2" s="279" t="str">
        <f>CONCATENATE("Southern Africa - Suider-Afrika ",'Edit Translations'!B12,"Preview")</f>
        <v>Southern Africa - Suider-Afrika 2026Preview</v>
      </c>
      <c r="C2" s="280"/>
      <c r="D2" s="280"/>
      <c r="E2" s="280"/>
      <c r="F2" s="281"/>
      <c r="G2" s="13"/>
      <c r="H2" s="6"/>
      <c r="O2" s="259" t="s">
        <v>194</v>
      </c>
      <c r="P2" s="259"/>
      <c r="Q2" s="259"/>
      <c r="R2" s="259"/>
      <c r="S2" s="259"/>
      <c r="T2" s="259"/>
      <c r="U2" s="259"/>
      <c r="V2" s="259"/>
    </row>
    <row r="3" spans="2:26" ht="25.5" customHeight="1" thickBot="1">
      <c r="B3" s="282" t="s">
        <v>13</v>
      </c>
      <c r="C3" s="283"/>
      <c r="D3" s="284"/>
      <c r="E3" s="284"/>
      <c r="F3" s="285"/>
      <c r="I3" s="14"/>
      <c r="O3" s="38" t="s">
        <v>193</v>
      </c>
      <c r="P3" s="19" t="s">
        <v>192</v>
      </c>
      <c r="Q3" s="18" t="s">
        <v>93</v>
      </c>
      <c r="R3" s="38" t="s">
        <v>131</v>
      </c>
      <c r="S3" s="28" t="s">
        <v>132</v>
      </c>
      <c r="T3" s="21" t="s">
        <v>90</v>
      </c>
      <c r="U3" s="21" t="s">
        <v>195</v>
      </c>
      <c r="V3" s="20" t="s">
        <v>145</v>
      </c>
      <c r="X3" s="11"/>
      <c r="Y3" s="11"/>
      <c r="Z3" s="11" t="s">
        <v>695</v>
      </c>
    </row>
    <row r="4" spans="2:26" ht="30" customHeight="1" thickBot="1">
      <c r="B4" s="30" t="str">
        <f>V4</f>
        <v>Jan</v>
      </c>
      <c r="C4" s="43" t="str">
        <f>T4</f>
        <v>7</v>
      </c>
      <c r="D4" s="47" t="s">
        <v>700</v>
      </c>
      <c r="E4" s="47" t="s">
        <v>692</v>
      </c>
      <c r="F4" s="50" t="s">
        <v>1017</v>
      </c>
      <c r="G4" s="2"/>
      <c r="H4" s="11" t="s">
        <v>38</v>
      </c>
      <c r="O4" s="122" t="str">
        <f>TransEngToBookLangA(FixWed!D4)</f>
        <v>Esdras</v>
      </c>
      <c r="P4" s="26" t="str">
        <f>IF(AND((LangANo()="2"),NOT(ISBLANK(FixWed!B4))), FixWed!B4,TRIM(LookupTransA(LookupId(2,FixWed!B4))))</f>
        <v>Confiando em Deus, por novo início</v>
      </c>
      <c r="Q4" s="26" t="str">
        <f>TRIM(LookupTransB(LookupId(2,FixWed!B4)))</f>
        <v>Trusting God for a new beginning</v>
      </c>
      <c r="R4" s="17" t="str">
        <f t="shared" ref="R4" si="0">CalcAltTransBook(O4,R3)</f>
        <v>Esdras</v>
      </c>
      <c r="S4" s="40" t="str">
        <f>TranslateRefs(FixWed!C4)</f>
        <v>0</v>
      </c>
      <c r="T4" s="23" t="str">
        <f>TEXT(FixWed!$A4,"d")</f>
        <v>7</v>
      </c>
      <c r="U4" s="16" t="str">
        <f>TransEngToLangA(TEXT(FixWed!$A4,"mmm"))</f>
        <v>Jan</v>
      </c>
      <c r="V4" s="22" t="str">
        <f>CalcAltTrans(U4,V3)</f>
        <v>Jan</v>
      </c>
      <c r="X4" s="11" t="str">
        <f>CONCATENATE("\WedChapter{",PrepareLatexText(T4),"}{",PrepareLatexText(V4),"}{",PrepareLatexText(R4),"}{",PrepareLatexText(FixWed!E4),"}{", PrepareLatexText(P4),"}{",PrepareLatexText(Q4),"}")</f>
        <v>\WedChapter{\nf{7}}{Jan}{Esdras}{\nf{1}\ \&amp;\ \nf{2}}{Confiando\ em\ Deus,\ por\ novo\ in\'icio}{Trusting\ God\ for\ a\ new\ beginning}</v>
      </c>
      <c r="Y4" s="11" t="str">
        <f t="shared" ref="Y4:Y35" si="1">CONCATENATE("\WedTopic{",PrepareLatexText(T4),"}{",PrepareLatexText(V4),"}{",PrepareBoldLatexText(P4),"}{",PrepareBoldLatexText(Q4),"}{",ReferenceLatexText(S4),"}")</f>
        <v>\WedTopic{\nf{7}}{Jan}{Confiando\ em\ Deus,\ por\ novo\ in\'icio}{Trusting\ God\ for\ a\ new\ beginning}{\nf{0}}</v>
      </c>
      <c r="Z4" s="11" t="str">
        <f>(IF(0=FixWed!D4,IF(ISBLANK(FixWed!B4),"",Y4),X4))</f>
        <v>\WedChapter{\nf{7}}{Jan}{Esdras}{\nf{1}\ \&amp;\ \nf{2}}{Confiando\ em\ Deus,\ por\ novo\ in\'icio}{Trusting\ God\ for\ a\ new\ beginning}</v>
      </c>
    </row>
    <row r="5" spans="2:26" ht="30" customHeight="1" thickBot="1">
      <c r="B5" s="30" t="str">
        <f t="shared" ref="B5:B29" si="2">V5</f>
        <v>Jan</v>
      </c>
      <c r="C5" s="43" t="str">
        <f t="shared" ref="C5:C29" si="3">T5</f>
        <v>14</v>
      </c>
      <c r="D5" s="47" t="s">
        <v>700</v>
      </c>
      <c r="E5" s="47" t="s">
        <v>987</v>
      </c>
      <c r="F5" s="51" t="s">
        <v>1062</v>
      </c>
      <c r="G5" s="2"/>
      <c r="H5" s="11" t="s">
        <v>38</v>
      </c>
      <c r="O5" s="122" t="str">
        <f>TransEngToBookLangA(FixWed!D5)</f>
        <v>Esdras</v>
      </c>
      <c r="P5" s="26" t="str">
        <f>IF(AND((LangANo()="2"),NOT(ISBLANK(FixWed!B5))), FixWed!B5,TRIM(LookupTransA(LookupId(2,FixWed!B5))))</f>
        <v>O mão de castigo de Deus removida</v>
      </c>
      <c r="Q5" s="26" t="str">
        <f>TRIM(LookupTransB(LookupId(2,FixWed!B5)))</f>
        <v>God’s chastening hand removed</v>
      </c>
      <c r="R5" s="17" t="str">
        <f t="shared" ref="R5:R60" si="4">CalcAltTransBook(O5,R4)</f>
        <v>Ezra</v>
      </c>
      <c r="S5" s="40" t="str">
        <f>TranslateRefs(FixWed!C5)</f>
        <v>0</v>
      </c>
      <c r="T5" s="23" t="str">
        <f>TEXT(FixWed!$A5,"d")</f>
        <v>14</v>
      </c>
      <c r="U5" s="16" t="str">
        <f>TransEngToLangA(TEXT(FixWed!$A5,"mmm"))</f>
        <v>Jan</v>
      </c>
      <c r="V5" s="22" t="str">
        <f t="shared" ref="V5:V60" si="5">CalcAltTrans(U5,V4)</f>
        <v>Jan</v>
      </c>
      <c r="X5" s="11" t="str">
        <f>CONCATENATE("\WedChapter{",PrepareLatexText(T5),"}{",PrepareLatexText(V5),"}{",PrepareLatexText(R5),"}{",PrepareLatexText(FixWed!E5),"}{", PrepareLatexText(P5),"}{",PrepareLatexText(Q5),"}")</f>
        <v>\WedChapter{\nf{14}}{Jan}{Ezra}{\nf{3}}{O\ m\~ao\ de\ castigo\ de\ Deus\ removida}{God\rq s\ chastening\ hand\ removed}</v>
      </c>
      <c r="Y5" s="11" t="str">
        <f t="shared" si="1"/>
        <v>\WedTopic{\nf{14}}{Jan}{O\ m\~ao\ de\ castigo\ de\ Deus\ removida}{God\rq s\ chastening\ hand\ removed}{\nf{0}}</v>
      </c>
      <c r="Z5" s="11" t="str">
        <f>(IF(0=FixWed!D5,IF(ISBLANK(FixWed!B5),"",Y5),X5))</f>
        <v>\WedChapter{\nf{14}}{Jan}{Ezra}{\nf{3}}{O\ m\~ao\ de\ castigo\ de\ Deus\ removida}{God\rq s\ chastening\ hand\ removed}</v>
      </c>
    </row>
    <row r="6" spans="2:26" ht="48" customHeight="1" thickBot="1">
      <c r="B6" s="30" t="str">
        <f t="shared" si="2"/>
        <v>Jan</v>
      </c>
      <c r="C6" s="43" t="str">
        <f t="shared" si="3"/>
        <v>21</v>
      </c>
      <c r="D6" s="154" t="s">
        <v>700</v>
      </c>
      <c r="E6" s="174">
        <v>23</v>
      </c>
      <c r="F6" s="96" t="s">
        <v>1018</v>
      </c>
      <c r="G6" s="2"/>
      <c r="H6" s="2" t="s">
        <v>37</v>
      </c>
      <c r="I6" s="6"/>
      <c r="O6" s="122" t="str">
        <f>TransEngToBookLangA(FixWed!D6)</f>
        <v>Esdras</v>
      </c>
      <c r="P6" s="26" t="str">
        <f>IF(AND((LangANo()="2"),NOT(ISBLANK(FixWed!B6))), FixWed!B6,TRIM(LookupTransA(LookupId(2,FixWed!B6))))</f>
        <v>Quanto mais bênção, mais ataques ferozes</v>
      </c>
      <c r="Q6" s="26" t="str">
        <f>TRIM(LookupTransB(LookupId(2,FixWed!B6)))</f>
        <v>Greater blessing, fiercer attack</v>
      </c>
      <c r="R6" s="17" t="str">
        <f t="shared" si="4"/>
        <v>Esdras</v>
      </c>
      <c r="S6" s="40" t="str">
        <f>TranslateRefs(FixWed!C6)</f>
        <v>0</v>
      </c>
      <c r="T6" s="23" t="str">
        <f>TEXT(FixWed!$A6,"d")</f>
        <v>21</v>
      </c>
      <c r="U6" s="16" t="str">
        <f>TransEngToLangA(TEXT(FixWed!$A6,"mmm"))</f>
        <v>Jan</v>
      </c>
      <c r="V6" s="22" t="str">
        <f t="shared" si="5"/>
        <v>Jan</v>
      </c>
      <c r="X6" s="11" t="str">
        <f>CONCATENATE("\WedChapter{",PrepareLatexText(T6),"}{",PrepareLatexText(V6),"}{",PrepareLatexText(R6),"}{",PrepareLatexText(FixWed!E6),"}{", PrepareLatexText(P6),"}{",PrepareLatexText(Q6),"}")</f>
        <v>\WedChapter{\nf{21}}{Jan}{Esdras}{\nf{4}}{Quanto\ mais\ b\^en\c{c}\~ao,\ mais\ ataques\ ferozes}{Greater\ blessing,\ fiercer\ attack}</v>
      </c>
      <c r="Y6" s="11" t="str">
        <f t="shared" si="1"/>
        <v>\WedTopic{\nf{21}}{Jan}{Quanto\ mais\ b\^en\c{c}\~ao,\ mais\ ataques\ ferozes}{Greater\ blessing,\ fiercer\ attack}{\nf{0}}</v>
      </c>
      <c r="Z6" s="11" t="str">
        <f>(IF(0=FixWed!D6,IF(ISBLANK(FixWed!B6),"",Y6),X6))</f>
        <v>\WedChapter{\nf{21}}{Jan}{Esdras}{\nf{4}}{Quanto\ mais\ b\^en\c{c}\~ao,\ mais\ ataques\ ferozes}{Greater\ blessing,\ fiercer\ attack}</v>
      </c>
    </row>
    <row r="7" spans="2:26" ht="30.5" thickBot="1">
      <c r="B7" s="30" t="str">
        <f t="shared" si="2"/>
        <v>Jan</v>
      </c>
      <c r="C7" s="43" t="str">
        <f t="shared" si="3"/>
        <v>28</v>
      </c>
      <c r="D7" s="274" t="s">
        <v>1063</v>
      </c>
      <c r="E7" s="272"/>
      <c r="F7" s="273"/>
      <c r="G7" s="2"/>
      <c r="H7" s="2" t="s">
        <v>37</v>
      </c>
      <c r="O7" s="122" t="str">
        <f>TransEngToBookLangA(FixWed!D7)</f>
        <v>0</v>
      </c>
      <c r="P7" s="26" t="str">
        <f>IF(AND((LangANo()="2"),NOT(ISBLANK(FixWed!B7))), FixWed!B7,TRIM(LookupTransA(LookupId(2,FixWed!B7))))</f>
        <v>Alcançando a aprovação de Deus</v>
      </c>
      <c r="Q7" s="26" t="str">
        <f>TRIM(LookupTransB(LookupId(2,FixWed!B7)))</f>
        <v>Gaining God's approval</v>
      </c>
      <c r="R7" s="17" t="str">
        <f t="shared" si="4"/>
        <v>0</v>
      </c>
      <c r="S7" s="40" t="str">
        <f>TranslateRefs(FixWed!C7)</f>
        <v>Gén 6:8,22; 17:1; Êxo 33:12-17; 1Sa 2:26; 3:10,19; 15:22; Isa 66:2; Dan 10:11,12; João 8:29; Ato 13:22</v>
      </c>
      <c r="T7" s="23" t="str">
        <f>TEXT(FixWed!$A7,"d")</f>
        <v>28</v>
      </c>
      <c r="U7" s="16" t="str">
        <f>TransEngToLangA(TEXT(FixWed!$A7,"mmm"))</f>
        <v>Jan</v>
      </c>
      <c r="V7" s="22" t="str">
        <f t="shared" si="5"/>
        <v>Jan</v>
      </c>
      <c r="X7" s="11" t="str">
        <f>CONCATENATE("\WedChapter{",PrepareLatexText(T7),"}{",PrepareLatexText(V7),"}{",PrepareLatexText(R7),"}{",PrepareLatexText(FixWed!E7),"}{", PrepareLatexText(P7),"}{",PrepareLatexText(Q7),"}")</f>
        <v>\WedChapter{\nf{28}}{Jan}{\nf{0}}{\nf{0}}{Alcan\c{c}ando\ a\ aprova\c{c}\~ao\ de\ Deus}{Gaining\ God's\ approval}</v>
      </c>
      <c r="Y7" s="11" t="str">
        <f t="shared" si="1"/>
        <v>\WedTopic{\nf{28}}{Jan}{Alcan\c{c}ando\ a\ aprova\c{c}\~ao\ de\ Deus}{Gaining\ God's\ approval}{G\'en~\nf{6}:\nf{8},\nf{22};\ \nf{17}:\nf{1};\ \^Exo~\nf{33}:\nf{12}\nobreakrefrange \nf{17};\ \nf{1}Sa~\nf{2}:\nf{26};\ \nf{3}:\nf{10},\nf{19};\ \nf{15}:\nf{22};\ Isa~\nf{66}:\nf{2};\ Dan~\nf{10}:\nf{11},\nf{12};\ Jo\~ao~\nf{8}:\nf{29};\ Ato~\nf{13}:\nf{22}}</v>
      </c>
      <c r="Z7" s="11" t="str">
        <f>(IF(0=FixWed!D7,IF(ISBLANK(FixWed!B7),"",Y7),X7))</f>
        <v>\WedTopic{\nf{28}}{Jan}{Alcan\c{c}ando\ a\ aprova\c{c}\~ao\ de\ Deus}{Gaining\ God's\ approval}{G\'en~\nf{6}:\nf{8},\nf{22};\ \nf{17}:\nf{1};\ \^Exo~\nf{33}:\nf{12}\nobreakrefrange \nf{17};\ \nf{1}Sa~\nf{2}:\nf{26};\ \nf{3}:\nf{10},\nf{19};\ \nf{15}:\nf{22};\ Isa~\nf{66}:\nf{2};\ Dan~\nf{10}:\nf{11},\nf{12};\ Jo\~ao~\nf{8}:\nf{29};\ Ato~\nf{13}:\nf{22}}</v>
      </c>
    </row>
    <row r="8" spans="2:26" s="15" customFormat="1" ht="50.4" customHeight="1" thickBot="1">
      <c r="B8" s="30" t="str">
        <f t="shared" si="2"/>
        <v>Fev</v>
      </c>
      <c r="C8" s="43" t="str">
        <f t="shared" si="3"/>
        <v>4</v>
      </c>
      <c r="D8" s="55" t="s">
        <v>700</v>
      </c>
      <c r="E8" s="175">
        <v>24</v>
      </c>
      <c r="F8" s="171" t="s">
        <v>1019</v>
      </c>
      <c r="G8" s="2"/>
      <c r="H8" s="2" t="s">
        <v>37</v>
      </c>
      <c r="I8" s="2"/>
      <c r="O8" s="122" t="str">
        <f>TransEngToBookLangA(FixWed!D8)</f>
        <v>Esdras</v>
      </c>
      <c r="P8" s="26" t="str">
        <f>IF(AND((LangANo()="2"),NOT(ISBLANK(FixWed!B8))), FixWed!B8,TRIM(LookupTransA(LookupId(2,FixWed!B8))))</f>
        <v>Nunca perca o seu ânimo</v>
      </c>
      <c r="Q8" s="26" t="str">
        <f>TRIM(LookupTransB(LookupId(2,FixWed!B8)))</f>
        <v>Never let your courage falter</v>
      </c>
      <c r="R8" s="17" t="str">
        <f t="shared" si="4"/>
        <v>Esdras</v>
      </c>
      <c r="S8" s="40" t="str">
        <f>TranslateRefs(FixWed!C8)</f>
        <v>0</v>
      </c>
      <c r="T8" s="23" t="str">
        <f>TEXT(FixWed!$A8,"d")</f>
        <v>4</v>
      </c>
      <c r="U8" s="16" t="str">
        <f>TransEngToLangA(TEXT(FixWed!$A8,"mmm"))</f>
        <v>Fev</v>
      </c>
      <c r="V8" s="22" t="str">
        <f t="shared" si="5"/>
        <v>Fev</v>
      </c>
      <c r="W8" s="1"/>
      <c r="X8" s="11" t="str">
        <f>CONCATENATE("\WedChapter{",PrepareLatexText(T8),"}{",PrepareLatexText(V8),"}{",PrepareLatexText(R8),"}{",PrepareLatexText(FixWed!E8),"}{", PrepareLatexText(P8),"}{",PrepareLatexText(Q8),"}")</f>
        <v>\WedChapter{\nf{4}}{Fev}{Esdras}{\nf{5}\ \&amp;\ \nf{6}}{Nunca\ perca\ o\ seu\ \^animo}{Never\ let\ your\ courage\ falter}</v>
      </c>
      <c r="Y8" s="11" t="str">
        <f t="shared" si="1"/>
        <v>\WedTopic{\nf{4}}{Fev}{Nunca\ perca\ o\ seu\ \^animo}{Never\ let\ your\ courage\ falter}{\nf{0}}</v>
      </c>
      <c r="Z8" s="11" t="str">
        <f>(IF(0=FixWed!D8,IF(ISBLANK(FixWed!B8),"",Y8),X8))</f>
        <v>\WedChapter{\nf{4}}{Fev}{Esdras}{\nf{5}\ \&amp;\ \nf{6}}{Nunca\ perca\ o\ seu\ \^animo}{Never\ let\ your\ courage\ falter}</v>
      </c>
    </row>
    <row r="9" spans="2:26" ht="42" customHeight="1" thickBot="1">
      <c r="B9" s="30" t="str">
        <f t="shared" si="2"/>
        <v>Feb</v>
      </c>
      <c r="C9" s="43" t="str">
        <f t="shared" si="3"/>
        <v>11</v>
      </c>
      <c r="D9" s="95" t="s">
        <v>700</v>
      </c>
      <c r="E9" s="174">
        <v>25</v>
      </c>
      <c r="F9" s="172" t="s">
        <v>1020</v>
      </c>
      <c r="G9" s="2"/>
      <c r="H9" s="2" t="s">
        <v>37</v>
      </c>
      <c r="I9" s="6"/>
      <c r="O9" s="122" t="str">
        <f>TransEngToBookLangA(FixWed!D9)</f>
        <v>Esdras</v>
      </c>
      <c r="P9" s="26" t="str">
        <f>IF(AND((LangANo()="2"),NOT(ISBLANK(FixWed!B9))), FixWed!B9,TRIM(LookupTransA(LookupId(2,FixWed!B9))))</f>
        <v>A mão de Deus provendo e protegendo</v>
      </c>
      <c r="Q9" s="26" t="str">
        <f>TRIM(LookupTransB(LookupId(2,FixWed!B9)))</f>
        <v>God's hand providing &amp; protecting</v>
      </c>
      <c r="R9" s="17" t="str">
        <f t="shared" si="4"/>
        <v>Ezra</v>
      </c>
      <c r="S9" s="40" t="str">
        <f>TranslateRefs(FixWed!C9)</f>
        <v>0</v>
      </c>
      <c r="T9" s="23" t="str">
        <f>TEXT(FixWed!$A9,"d")</f>
        <v>11</v>
      </c>
      <c r="U9" s="16" t="str">
        <f>TransEngToLangA(TEXT(FixWed!$A9,"mmm"))</f>
        <v>Fev</v>
      </c>
      <c r="V9" s="22" t="str">
        <f t="shared" si="5"/>
        <v>Feb</v>
      </c>
      <c r="X9" s="11" t="str">
        <f>CONCATENATE("\WedChapter{",PrepareLatexText(T9),"}{",PrepareLatexText(V9),"}{",PrepareLatexText(R9),"}{",PrepareLatexText(FixWed!E9),"}{", PrepareLatexText(P9),"}{",PrepareLatexText(Q9),"}")</f>
        <v>\WedChapter{\nf{11}}{Feb}{Ezra}{\nf{7}\ \&amp;\ \nf{8}}{A\ m\~ao\ de\ Deus\ provendo\ e\ protegendo}{God's\ hand\ providing\ \&amp;\ protecting}</v>
      </c>
      <c r="Y9" s="11" t="str">
        <f t="shared" si="1"/>
        <v>\WedTopic{\nf{11}}{Feb}{A\ m\~ao\ de\ Deus\ provendo\ e\ protegendo}{God's\ hand\ providing\ \&amp;\ protecting}{\nf{0}}</v>
      </c>
      <c r="Z9" s="11" t="str">
        <f>(IF(0=FixWed!D9,IF(ISBLANK(FixWed!B9),"",Y9),X9))</f>
        <v>\WedChapter{\nf{11}}{Feb}{Ezra}{\nf{7}\ \&amp;\ \nf{8}}{A\ m\~ao\ de\ Deus\ provendo\ e\ protegendo}{God's\ hand\ providing\ \&amp;\ protecting}</v>
      </c>
    </row>
    <row r="10" spans="2:26" ht="30.5" thickBot="1">
      <c r="B10" s="30" t="str">
        <f t="shared" si="2"/>
        <v>Fev</v>
      </c>
      <c r="C10" s="43" t="str">
        <f t="shared" si="3"/>
        <v>18</v>
      </c>
      <c r="D10" s="274" t="s">
        <v>1064</v>
      </c>
      <c r="E10" s="272"/>
      <c r="F10" s="273"/>
      <c r="G10" s="2"/>
      <c r="H10" s="2" t="s">
        <v>37</v>
      </c>
      <c r="O10" s="122" t="str">
        <f>TransEngToBookLangA(FixWed!D10)</f>
        <v>0</v>
      </c>
      <c r="P10" s="26" t="str">
        <f>IF(AND((LangANo()="2"),NOT(ISBLANK(FixWed!B10))), FixWed!B10,TRIM(LookupTransA(LookupId(2,FixWed!B10))))</f>
        <v>A preeminência do amor</v>
      </c>
      <c r="Q10" s="26" t="str">
        <f>TRIM(LookupTransB(LookupId(2,FixWed!B10)))</f>
        <v>Pre-eminence of Love</v>
      </c>
      <c r="R10" s="17" t="str">
        <f t="shared" si="4"/>
        <v>0</v>
      </c>
      <c r="S10" s="40" t="str">
        <f>TranslateRefs(FixWed!C10)</f>
        <v>Hos 11:4; João 12:32; 1Cor 13:13; Ga 5:6,22; Efé 3:17-19; 5:2; Kol 3:14; 1Jo 4:16-18</v>
      </c>
      <c r="T10" s="23" t="str">
        <f>TEXT(FixWed!$A10,"d")</f>
        <v>18</v>
      </c>
      <c r="U10" s="16" t="str">
        <f>TransEngToLangA(TEXT(FixWed!$A10,"mmm"))</f>
        <v>Fev</v>
      </c>
      <c r="V10" s="22" t="str">
        <f t="shared" si="5"/>
        <v>Fev</v>
      </c>
      <c r="X10" s="11" t="str">
        <f>CONCATENATE("\WedChapter{",PrepareLatexText(T10),"}{",PrepareLatexText(V10),"}{",PrepareLatexText(R10),"}{",PrepareLatexText(FixWed!E10),"}{", PrepareLatexText(P10),"}{",PrepareLatexText(Q10),"}")</f>
        <v>\WedChapter{\nf{18}}{Fev}{\nf{0}}{\nf{0}}{A\ preemin\^encia\ do\ amor}{Pre\textendash eminence\ of\ Love}</v>
      </c>
      <c r="Y10" s="11" t="str">
        <f t="shared" si="1"/>
        <v>\WedTopic{\nf{18}}{Fev}{A\ preemin\^encia\ do\ amor}{Pre\textendash eminence\ of\ Love}{Hos~\nf{11}:\nf{4};\ Jo\~ao~\nf{12}:\nf{32};\ \nf{1}Cor~\nf{13}:\nf{13};\ Ga~\nf{5}:\nf{6},\nf{22};\ Ef\'e~\nf{3}:\nf{17}\nobreakrefrange \nf{19};\ \nf{5}:\nf{2};\ Kol~\nf{3}:\nf{14};\ \nf{1}Jo~\nf{4}:\nf{16}\nobreakrefrange \nf{18}}</v>
      </c>
      <c r="Z10" s="11" t="str">
        <f>(IF(0=FixWed!D10,IF(ISBLANK(FixWed!B10),"",Y10),X10))</f>
        <v>\WedTopic{\nf{18}}{Fev}{A\ preemin\^encia\ do\ amor}{Pre\textendash eminence\ of\ Love}{Hos~\nf{11}:\nf{4};\ Jo\~ao~\nf{12}:\nf{32};\ \nf{1}Cor~\nf{13}:\nf{13};\ Ga~\nf{5}:\nf{6},\nf{22};\ Ef\'e~\nf{3}:\nf{17}\nobreakrefrange \nf{19};\ \nf{5}:\nf{2};\ Kol~\nf{3}:\nf{14};\ \nf{1}Jo~\nf{4}:\nf{16}\nobreakrefrange \nf{18}}</v>
      </c>
    </row>
    <row r="11" spans="2:26" ht="30.75" customHeight="1" thickBot="1">
      <c r="B11" s="30" t="str">
        <f t="shared" si="2"/>
        <v>Feb</v>
      </c>
      <c r="C11" s="43" t="str">
        <f t="shared" si="3"/>
        <v>25</v>
      </c>
      <c r="D11" s="47" t="s">
        <v>700</v>
      </c>
      <c r="E11" s="177">
        <v>27</v>
      </c>
      <c r="F11" s="171" t="s">
        <v>1021</v>
      </c>
      <c r="G11" s="2"/>
      <c r="H11" s="2" t="s">
        <v>37</v>
      </c>
      <c r="O11" s="122" t="str">
        <f>TransEngToBookLangA(FixWed!D11)</f>
        <v>Esdras</v>
      </c>
      <c r="P11" s="26" t="str">
        <f>IF(AND((LangANo()="2"),NOT(ISBLANK(FixWed!B11))), FixWed!B11,TRIM(LookupTransA(LookupId(2,FixWed!B11))))</f>
        <v>Violar nossos valores leva para baixo</v>
      </c>
      <c r="Q11" s="26" t="str">
        <f>TRIM(LookupTransB(LookupId(2,FixWed!B11)))</f>
        <v>Downward spiral of compromise</v>
      </c>
      <c r="R11" s="17" t="str">
        <f t="shared" si="4"/>
        <v>Esdras</v>
      </c>
      <c r="S11" s="40" t="str">
        <f>TranslateRefs(FixWed!C11)</f>
        <v>0</v>
      </c>
      <c r="T11" s="23" t="str">
        <f>TEXT(FixWed!$A11,"d")</f>
        <v>25</v>
      </c>
      <c r="U11" s="16" t="str">
        <f>TransEngToLangA(TEXT(FixWed!$A11,"mmm"))</f>
        <v>Fev</v>
      </c>
      <c r="V11" s="22" t="str">
        <f t="shared" si="5"/>
        <v>Feb</v>
      </c>
      <c r="X11" s="11" t="str">
        <f>CONCATENATE("\WedChapter{",PrepareLatexText(T11),"}{",PrepareLatexText(V11),"}{",PrepareLatexText(R11),"}{",PrepareLatexText(FixWed!E11),"}{", PrepareLatexText(P11),"}{",PrepareLatexText(Q11),"}")</f>
        <v>\WedChapter{\nf{25}}{Feb}{Esdras}{\nf{9}}{Violar\ nossos\ valores\ leva\ para\ baixo}{Downward\ spiral\ of\ compromise}</v>
      </c>
      <c r="Y11" s="11" t="str">
        <f t="shared" si="1"/>
        <v>\WedTopic{\nf{25}}{Feb}{Violar\ nossos\ valores\ leva\ para\ baixo}{Downward\ spiral\ of\ compromise}{\nf{0}}</v>
      </c>
      <c r="Z11" s="11" t="str">
        <f>(IF(0=FixWed!D11,IF(ISBLANK(FixWed!B11),"",Y11),X11))</f>
        <v>\WedChapter{\nf{25}}{Feb}{Esdras}{\nf{9}}{Violar\ nossos\ valores\ leva\ para\ baixo}{Downward\ spiral\ of\ compromise}</v>
      </c>
    </row>
    <row r="12" spans="2:26" ht="45" customHeight="1" thickBot="1">
      <c r="B12" s="30" t="str">
        <f t="shared" si="2"/>
        <v>Mar</v>
      </c>
      <c r="C12" s="43" t="str">
        <f t="shared" si="3"/>
        <v>4</v>
      </c>
      <c r="D12" s="95" t="s">
        <v>700</v>
      </c>
      <c r="E12" s="174">
        <v>33</v>
      </c>
      <c r="F12" s="172" t="s">
        <v>1022</v>
      </c>
      <c r="G12" s="2"/>
      <c r="H12" s="2" t="s">
        <v>37</v>
      </c>
      <c r="I12" s="2" t="s">
        <v>87</v>
      </c>
      <c r="O12" s="122" t="str">
        <f>TransEngToBookLangA(FixWed!D12)</f>
        <v>Esdras</v>
      </c>
      <c r="P12" s="26" t="str">
        <f>IF(AND((LangANo()="2"),NOT(ISBLANK(FixWed!B12))), FixWed!B12,TRIM(LookupTransA(LookupId(2,FixWed!B12))))</f>
        <v>Um raio de esperança na escuridão</v>
      </c>
      <c r="Q12" s="26" t="str">
        <f>TRIM(LookupTransB(LookupId(2,FixWed!B12)))</f>
        <v>Ray of hope in the darkness</v>
      </c>
      <c r="R12" s="17" t="str">
        <f t="shared" si="4"/>
        <v>Ezra</v>
      </c>
      <c r="S12" s="40" t="str">
        <f>TranslateRefs(FixWed!C12)</f>
        <v>0</v>
      </c>
      <c r="T12" s="23" t="str">
        <f>TEXT(FixWed!$A12,"d")</f>
        <v>4</v>
      </c>
      <c r="U12" s="16" t="str">
        <f>TransEngToLangA(TEXT(FixWed!$A12,"mmm"))</f>
        <v>Mar</v>
      </c>
      <c r="V12" s="22" t="str">
        <f t="shared" si="5"/>
        <v>Mar</v>
      </c>
      <c r="X12" s="11" t="str">
        <f>CONCATENATE("\WedChapter{",PrepareLatexText(T12),"}{",PrepareLatexText(V12),"}{",PrepareLatexText(R12),"}{",PrepareLatexText(FixWed!E12),"}{", PrepareLatexText(P12),"}{",PrepareLatexText(Q12),"}")</f>
        <v>\WedChapter{\nf{4}}{Mar}{Ezra}{\nf{10}}{Um\ raio\ de\ esperan\c{c}a\ na\ escurid\~ao}{Ray\ of\ hope\ in\ the\ darkness}</v>
      </c>
      <c r="Y12" s="11" t="str">
        <f t="shared" si="1"/>
        <v>\WedTopic{\nf{4}}{Mar}{Um\ raio\ de\ esperan\c{c}a\ na\ escurid\~ao}{Ray\ of\ hope\ in\ the\ darkness}{\nf{0}}</v>
      </c>
      <c r="Z12" s="11" t="str">
        <f>(IF(0=FixWed!D12,IF(ISBLANK(FixWed!B12),"",Y12),X12))</f>
        <v>\WedChapter{\nf{4}}{Mar}{Ezra}{\nf{10}}{Um\ raio\ de\ esperan\c{c}a\ na\ escurid\~ao}{Ray\ of\ hope\ in\ the\ darkness}</v>
      </c>
    </row>
    <row r="13" spans="2:26" ht="46.5" customHeight="1" thickBot="1">
      <c r="B13" s="30" t="str">
        <f t="shared" si="2"/>
        <v>Mar</v>
      </c>
      <c r="C13" s="43" t="str">
        <f t="shared" si="3"/>
        <v>11</v>
      </c>
      <c r="D13" s="271" t="s">
        <v>1065</v>
      </c>
      <c r="E13" s="272"/>
      <c r="F13" s="273"/>
      <c r="G13" s="2"/>
      <c r="H13" s="2" t="s">
        <v>37</v>
      </c>
      <c r="I13" s="6"/>
      <c r="O13" s="122" t="str">
        <f>TransEngToBookLangA(FixWed!D13)</f>
        <v>0</v>
      </c>
      <c r="P13" s="26" t="str">
        <f>IF(AND((LangANo()="2"),NOT(ISBLANK(FixWed!B13))), FixWed!B13,TRIM(LookupTransA(LookupId(2,FixWed!B13))))</f>
        <v>O tipo de coração que necessitamos</v>
      </c>
      <c r="Q13" s="26" t="str">
        <f>TRIM(LookupTransB(LookupId(2,FixWed!B13)))</f>
        <v>The kind of heart we need</v>
      </c>
      <c r="R13" s="17" t="str">
        <f t="shared" si="4"/>
        <v>0</v>
      </c>
      <c r="S13" s="40" t="str">
        <f>TranslateRefs(FixWed!C13)</f>
        <v>Deu 5:29; 1Sa 12:24; Pro 3:5-6; 23:26; Jer 24:7; 29:13; Eze 11:19-20; Joe 2:12-13; Luc 10:27</v>
      </c>
      <c r="T13" s="23" t="str">
        <f>TEXT(FixWed!$A13,"d")</f>
        <v>11</v>
      </c>
      <c r="U13" s="16" t="str">
        <f>TransEngToLangA(TEXT(FixWed!$A13,"mmm"))</f>
        <v>Mar</v>
      </c>
      <c r="V13" s="22" t="str">
        <f t="shared" si="5"/>
        <v>Mar</v>
      </c>
      <c r="X13" s="11" t="str">
        <f>CONCATENATE("\WedChapter{",PrepareLatexText(T13),"}{",PrepareLatexText(V13),"}{",PrepareLatexText(R13),"}{",PrepareLatexText(FixWed!E13),"}{", PrepareLatexText(P13),"}{",PrepareLatexText(Q13),"}")</f>
        <v>\WedChapter{\nf{11}}{Mar}{\nf{0}}{\nf{0}}{O\ tipo\ de\ cora\c{c}\~ao\ que\ necessitamos}{The\ kind\ of\ heart\ we\ need}</v>
      </c>
      <c r="Y13" s="11" t="str">
        <f t="shared" si="1"/>
        <v>\WedTopic{\nf{11}}{Mar}{O\ tipo\ de\ cora\c{c}\~ao\ que\ necessitamos}{The\ kind\ of\ heart\ we\ need}{Deu~\nf{5}:\nf{29};\ \nf{1}Sa~\nf{12}:\nf{24};\ Pro~\nf{3}:\nf{5}\nobreakrefrange \nf{6};\ \nf{23}:\nf{26};\ Jer~\nf{24}:\nf{7};\ \nf{29}:\nf{13};\ Eze~\nf{11}:\nf{19}\nobreakrefrange \nf{20};\ Joe~\nf{2}:\nf{12}\nobreakrefrange \nf{13};\ Luc~\nf{10}:\nf{27}}</v>
      </c>
      <c r="Z13" s="11" t="str">
        <f>(IF(0=FixWed!D13,IF(ISBLANK(FixWed!B13),"",Y13),X13))</f>
        <v>\WedTopic{\nf{11}}{Mar}{O\ tipo\ de\ cora\c{c}\~ao\ que\ necessitamos}{The\ kind\ of\ heart\ we\ need}{Deu~\nf{5}:\nf{29};\ \nf{1}Sa~\nf{12}:\nf{24};\ Pro~\nf{3}:\nf{5}\nobreakrefrange \nf{6};\ \nf{23}:\nf{26};\ Jer~\nf{24}:\nf{7};\ \nf{29}:\nf{13};\ Eze~\nf{11}:\nf{19}\nobreakrefrange \nf{20};\ Joe~\nf{2}:\nf{12}\nobreakrefrange \nf{13};\ Luc~\nf{10}:\nf{27}}</v>
      </c>
    </row>
    <row r="14" spans="2:26" ht="30.75" customHeight="1" thickBot="1">
      <c r="B14" s="30" t="str">
        <f t="shared" si="2"/>
        <v>Mar</v>
      </c>
      <c r="C14" s="43" t="str">
        <f t="shared" si="3"/>
        <v>18</v>
      </c>
      <c r="D14" s="47" t="s">
        <v>952</v>
      </c>
      <c r="E14" s="177">
        <v>1</v>
      </c>
      <c r="F14" s="171" t="s">
        <v>1023</v>
      </c>
      <c r="G14" s="2"/>
      <c r="H14" s="2" t="s">
        <v>37</v>
      </c>
      <c r="O14" s="122" t="str">
        <f>TransEngToBookLangA(FixWed!D14)</f>
        <v>Ageu</v>
      </c>
      <c r="P14" s="26" t="str">
        <f>IF(AND((LangANo()="2"),NOT(ISBLANK(FixWed!B14))), FixWed!B14,TRIM(LookupTransA(LookupId(2,FixWed!B14))))</f>
        <v>Sondando às nossas prioridades</v>
      </c>
      <c r="Q14" s="26" t="str">
        <f>TRIM(LookupTransB(LookupId(2,FixWed!B14)))</f>
        <v>Examining one's own priorities</v>
      </c>
      <c r="R14" s="17" t="str">
        <f t="shared" si="4"/>
        <v>Ageu</v>
      </c>
      <c r="S14" s="40" t="str">
        <f>TranslateRefs(FixWed!C14)</f>
        <v>0</v>
      </c>
      <c r="T14" s="23" t="str">
        <f>TEXT(FixWed!$A14,"d")</f>
        <v>18</v>
      </c>
      <c r="U14" s="16" t="str">
        <f>TransEngToLangA(TEXT(FixWed!$A14,"mmm"))</f>
        <v>Mar</v>
      </c>
      <c r="V14" s="22" t="str">
        <f t="shared" si="5"/>
        <v>Mar</v>
      </c>
      <c r="X14" s="11" t="str">
        <f>CONCATENATE("\WedChapter{",PrepareLatexText(T14),"}{",PrepareLatexText(V14),"}{",PrepareLatexText(R14),"}{",PrepareLatexText(FixWed!E14),"}{", PrepareLatexText(P14),"}{",PrepareLatexText(Q14),"}")</f>
        <v>\WedChapter{\nf{18}}{Mar}{Ageu}{\nf{1}}{Sondando\ \`as\ nossas\ prioridades}{Examining\ one's\ own\ priorities}</v>
      </c>
      <c r="Y14" s="11" t="str">
        <f t="shared" si="1"/>
        <v>\WedTopic{\nf{18}}{Mar}{Sondando\ \`as\ nossas\ prioridades}{Examining\ one's\ own\ priorities}{\nf{0}}</v>
      </c>
      <c r="Z14" s="11" t="str">
        <f>(IF(0=FixWed!D14,IF(ISBLANK(FixWed!B14),"",Y14),X14))</f>
        <v>\WedChapter{\nf{18}}{Mar}{Ageu}{\nf{1}}{Sondando\ \`as\ nossas\ prioridades}{Examining\ one's\ own\ priorities}</v>
      </c>
    </row>
    <row r="15" spans="2:26" ht="30" customHeight="1" thickBot="1">
      <c r="B15" s="30" t="str">
        <f t="shared" si="2"/>
        <v>Mar</v>
      </c>
      <c r="C15" s="43" t="str">
        <f t="shared" si="3"/>
        <v>25</v>
      </c>
      <c r="D15" s="95" t="s">
        <v>952</v>
      </c>
      <c r="E15" s="174">
        <v>2</v>
      </c>
      <c r="F15" s="172" t="s">
        <v>1024</v>
      </c>
      <c r="G15" s="2"/>
      <c r="H15" s="2" t="s">
        <v>37</v>
      </c>
      <c r="O15" s="122" t="str">
        <f>TransEngToBookLangA(FixWed!D15)</f>
        <v>Ageu</v>
      </c>
      <c r="P15" s="26" t="str">
        <f>IF(AND((LangANo()="2"),NOT(ISBLANK(FixWed!B15))), FixWed!B15,TRIM(LookupTransA(LookupId(2,FixWed!B15))))</f>
        <v>Notando as bênçãos provenientes de Deus</v>
      </c>
      <c r="Q15" s="26" t="str">
        <f>TRIM(LookupTransB(LookupId(2,FixWed!B15)))</f>
        <v>Take note of God's blessings</v>
      </c>
      <c r="R15" s="17" t="str">
        <f t="shared" si="4"/>
        <v>Haggai</v>
      </c>
      <c r="S15" s="40" t="str">
        <f>TranslateRefs(FixWed!C15)</f>
        <v>0</v>
      </c>
      <c r="T15" s="23" t="str">
        <f>TEXT(FixWed!$A15,"d")</f>
        <v>25</v>
      </c>
      <c r="U15" s="16" t="str">
        <f>TransEngToLangA(TEXT(FixWed!$A15,"mmm"))</f>
        <v>Mar</v>
      </c>
      <c r="V15" s="22" t="str">
        <f t="shared" si="5"/>
        <v>Mar</v>
      </c>
      <c r="X15" s="11" t="str">
        <f>CONCATENATE("\WedChapter{",PrepareLatexText(T15),"}{",PrepareLatexText(V15),"}{",PrepareLatexText(R15),"}{",PrepareLatexText(FixWed!E15),"}{", PrepareLatexText(P15),"}{",PrepareLatexText(Q15),"}")</f>
        <v>\WedChapter{\nf{25}}{Mar}{Haggai}{\nf{2}}{Notando\ as\ b\^en\c{c}\~aos\ provenientes\ de\ Deus}{Take\ note\ of\ God's\ blessings}</v>
      </c>
      <c r="Y15" s="11" t="str">
        <f t="shared" si="1"/>
        <v>\WedTopic{\nf{25}}{Mar}{Notando\ as\ b\^en\c{c}\~aos\ provenientes\ de\ Deus}{Take\ note\ of\ God's\ blessings}{\nf{0}}</v>
      </c>
      <c r="Z15" s="11" t="str">
        <f>(IF(0=FixWed!D15,IF(ISBLANK(FixWed!B15),"",Y15),X15))</f>
        <v>\WedChapter{\nf{25}}{Mar}{Haggai}{\nf{2}}{Notando\ as\ b\^en\c{c}\~aos\ provenientes\ de\ Deus}{Take\ note\ of\ God's\ blessings}</v>
      </c>
    </row>
    <row r="16" spans="2:26" ht="30" customHeight="1" thickBot="1">
      <c r="B16" s="30" t="str">
        <f t="shared" si="2"/>
        <v>Abr</v>
      </c>
      <c r="C16" s="43" t="str">
        <f t="shared" si="3"/>
        <v>1</v>
      </c>
      <c r="D16" s="271" t="s">
        <v>1066</v>
      </c>
      <c r="E16" s="272"/>
      <c r="F16" s="273"/>
      <c r="G16" s="2"/>
      <c r="H16" s="2" t="s">
        <v>37</v>
      </c>
      <c r="I16" s="6"/>
      <c r="O16" s="122" t="str">
        <f>TransEngToBookLangA(FixWed!D16)</f>
        <v>0</v>
      </c>
      <c r="P16" s="26" t="str">
        <f>IF(AND((LangANo()="2"),NOT(ISBLANK(FixWed!B16))), FixWed!B16,TRIM(LookupTransA(LookupId(2,FixWed!B16))))</f>
        <v>O significado dos lugares</v>
      </c>
      <c r="Q16" s="26" t="str">
        <f>TRIM(LookupTransB(LookupId(2,FixWed!B16)))</f>
        <v>Significant place names</v>
      </c>
      <c r="R16" s="17" t="str">
        <f t="shared" si="4"/>
        <v>0</v>
      </c>
      <c r="S16" s="40" t="str">
        <f>TranslateRefs(FixWed!C16)</f>
        <v>Gén 16:13-14; 22:14; 28:19; 35:7; Juíz 15:17-19; 1Sa 7:12; Mat 26:36; João 19:17</v>
      </c>
      <c r="T16" s="23" t="str">
        <f>TEXT(FixWed!$A16,"d")</f>
        <v>1</v>
      </c>
      <c r="U16" s="16" t="str">
        <f>TransEngToLangA(TEXT(FixWed!$A16,"mmm"))</f>
        <v>Abr</v>
      </c>
      <c r="V16" s="22" t="str">
        <f t="shared" si="5"/>
        <v>Abr</v>
      </c>
      <c r="X16" s="11" t="str">
        <f>CONCATENATE("\WedChapter{",PrepareLatexText(T16),"}{",PrepareLatexText(V16),"}{",PrepareLatexText(R16),"}{",PrepareLatexText(FixWed!E16),"}{", PrepareLatexText(P16),"}{",PrepareLatexText(Q16),"}")</f>
        <v>\WedChapter{\nf{1}}{Abr}{\nf{0}}{\nf{0}}{O\ significado\ dos\ lugares}{Significant\ place\ names}</v>
      </c>
      <c r="Y16" s="11" t="str">
        <f t="shared" si="1"/>
        <v>\WedTopic{\nf{1}}{Abr}{O\ significado\ dos\ lugares}{Significant\ place\ names}{G\'en~\nf{16}:\nf{13}\nobreakrefrange \nf{14};\ \nf{22}:\nf{14};\ \nf{28}:\nf{19};\ \nf{35}:\nf{7};\ Ju\'iz~\nf{15}:\nf{17}\nobreakrefrange \nf{19};\ \nf{1}Sa~\nf{7}:\nf{12};\ Mat~\nf{26}:\nf{36};\ Jo\~ao~\nf{19}:\nf{17}}</v>
      </c>
      <c r="Z16" s="11" t="str">
        <f>(IF(0=FixWed!D16,IF(ISBLANK(FixWed!B16),"",Y16),X16))</f>
        <v>\WedTopic{\nf{1}}{Abr}{O\ significado\ dos\ lugares}{Significant\ place\ names}{G\'en~\nf{16}:\nf{13}\nobreakrefrange \nf{14};\ \nf{22}:\nf{14};\ \nf{28}:\nf{19};\ \nf{35}:\nf{7};\ Ju\'iz~\nf{15}:\nf{17}\nobreakrefrange \nf{19};\ \nf{1}Sa~\nf{7}:\nf{12};\ Mat~\nf{26}:\nf{36};\ Jo\~ao~\nf{19}:\nf{17}}</v>
      </c>
    </row>
    <row r="17" spans="2:26" s="15" customFormat="1" ht="47.4" customHeight="1" thickBot="1">
      <c r="B17" s="30" t="str">
        <f t="shared" si="2"/>
        <v>Apr</v>
      </c>
      <c r="C17" s="43" t="str">
        <f t="shared" si="3"/>
        <v>8</v>
      </c>
      <c r="D17" s="55" t="s">
        <v>15</v>
      </c>
      <c r="E17" s="175" t="s">
        <v>988</v>
      </c>
      <c r="F17" s="171" t="s">
        <v>1025</v>
      </c>
      <c r="G17" s="2"/>
      <c r="H17" s="2" t="s">
        <v>37</v>
      </c>
      <c r="I17" s="16"/>
      <c r="O17" s="122" t="str">
        <f>TransEngToBookLangA(FixWed!D17)</f>
        <v>Neemias</v>
      </c>
      <c r="P17" s="26" t="str">
        <f>IF(AND((LangANo()="2"),NOT(ISBLANK(FixWed!B17))), FixWed!B17,TRIM(LookupTransA(LookupId(2,FixWed!B17))))</f>
        <v>A oração muda as coisas quando ela nos muda primeiro</v>
      </c>
      <c r="Q17" s="26" t="str">
        <f>TRIM(LookupTransB(LookupId(2,FixWed!B17)))</f>
        <v>Prayer changes things, if it first changes me</v>
      </c>
      <c r="R17" s="17" t="str">
        <f t="shared" si="4"/>
        <v>Neemias</v>
      </c>
      <c r="S17" s="40" t="str">
        <f>TranslateRefs(FixWed!C17)</f>
        <v>0</v>
      </c>
      <c r="T17" s="23" t="str">
        <f>TEXT(FixWed!$A17,"d")</f>
        <v>8</v>
      </c>
      <c r="U17" s="16" t="str">
        <f>TransEngToLangA(TEXT(FixWed!$A17,"mmm"))</f>
        <v>Abr</v>
      </c>
      <c r="V17" s="22" t="str">
        <f t="shared" si="5"/>
        <v>Apr</v>
      </c>
      <c r="W17" s="1"/>
      <c r="X17" s="11" t="str">
        <f>CONCATENATE("\WedChapter{",PrepareLatexText(T17),"}{",PrepareLatexText(V17),"}{",PrepareLatexText(R17),"}{",PrepareLatexText(FixWed!E17),"}{", PrepareLatexText(P17),"}{",PrepareLatexText(Q17),"}")</f>
        <v>\WedChapter{\nf{8}}{Apr}{Neemias}{\nf{1}}{A\ ora\c{c}\~ao\ muda\ as\ coisas\ quando\ ela\ nos\ muda\ primeiro}{Prayer\ changes\ things,\ if\ it\ first\ changes\ me}</v>
      </c>
      <c r="Y17" s="11" t="str">
        <f t="shared" si="1"/>
        <v>\WedTopic{\nf{8}}{Apr}{A\ ora\c{c}\~ao\ muda\ as\ coisas\ quando\ ela\ nos\ muda\ primeiro}{Prayer\ changes\ things,\ if\ it\ first\ changes\ me}{\nf{0}}</v>
      </c>
      <c r="Z17" s="11" t="str">
        <f>(IF(0=FixWed!D17,IF(ISBLANK(FixWed!B17),"",Y17),X17))</f>
        <v>\WedChapter{\nf{8}}{Apr}{Neemias}{\nf{1}}{A\ ora\c{c}\~ao\ muda\ as\ coisas\ quando\ ela\ nos\ muda\ primeiro}{Prayer\ changes\ things,\ if\ it\ first\ changes\ me}</v>
      </c>
    </row>
    <row r="18" spans="2:26" s="15" customFormat="1" ht="30.5" thickBot="1">
      <c r="B18" s="30" t="str">
        <f t="shared" si="2"/>
        <v>Abr</v>
      </c>
      <c r="C18" s="43" t="str">
        <f t="shared" si="3"/>
        <v>15</v>
      </c>
      <c r="D18" s="98" t="s">
        <v>15</v>
      </c>
      <c r="E18" s="176" t="s">
        <v>985</v>
      </c>
      <c r="F18" s="178" t="s">
        <v>1026</v>
      </c>
      <c r="G18" s="2"/>
      <c r="H18" s="11" t="s">
        <v>38</v>
      </c>
      <c r="I18" s="11"/>
      <c r="O18" s="122" t="str">
        <f>TransEngToBookLangA(FixWed!D18)</f>
        <v>Neemias</v>
      </c>
      <c r="P18" s="26" t="str">
        <f>IF(AND((LangANo()="2"),NOT(ISBLANK(FixWed!B18))), FixWed!B18,TRIM(LookupTransA(LookupId(2,FixWed!B18))))</f>
        <v>Esperar em Deus não é tempo perdido</v>
      </c>
      <c r="Q18" s="26" t="str">
        <f>TRIM(LookupTransB(LookupId(2,FixWed!B18)))</f>
        <v>No time lost in waiting on God</v>
      </c>
      <c r="R18" s="17" t="str">
        <f t="shared" si="4"/>
        <v>Nehemiah</v>
      </c>
      <c r="S18" s="40" t="str">
        <f>TranslateRefs(FixWed!C18)</f>
        <v>0</v>
      </c>
      <c r="T18" s="23" t="str">
        <f>TEXT(FixWed!$A18,"d")</f>
        <v>15</v>
      </c>
      <c r="U18" s="16" t="str">
        <f>TransEngToLangA(TEXT(FixWed!$A18,"mmm"))</f>
        <v>Abr</v>
      </c>
      <c r="V18" s="22" t="str">
        <f t="shared" si="5"/>
        <v>Abr</v>
      </c>
      <c r="W18" s="1"/>
      <c r="X18" s="11" t="str">
        <f>CONCATENATE("\WedChapter{",PrepareLatexText(T18),"}{",PrepareLatexText(V18),"}{",PrepareLatexText(R18),"}{",PrepareLatexText(FixWed!E18),"}{", PrepareLatexText(P18),"}{",PrepareLatexText(Q18),"}")</f>
        <v>\WedChapter{\nf{15}}{Abr}{Nehemiah}{\nf{2}}{Esperar\ em\ Deus\ n\~ao\ \'e\ tempo\ perdido}{No\ time\ lost\ in\ waiting\ on\ God}</v>
      </c>
      <c r="Y18" s="11" t="str">
        <f t="shared" si="1"/>
        <v>\WedTopic{\nf{15}}{Abr}{Esperar\ em\ Deus\ n\~ao\ \'e\ tempo\ perdido}{No\ time\ lost\ in\ waiting\ on\ God}{\nf{0}}</v>
      </c>
      <c r="Z18" s="11" t="str">
        <f>(IF(0=FixWed!D18,IF(ISBLANK(FixWed!B18),"",Y18),X18))</f>
        <v>\WedChapter{\nf{15}}{Abr}{Nehemiah}{\nf{2}}{Esperar\ em\ Deus\ n\~ao\ \'e\ tempo\ perdido}{No\ time\ lost\ in\ waiting\ on\ God}</v>
      </c>
    </row>
    <row r="19" spans="2:26" ht="30" customHeight="1" thickBot="1">
      <c r="B19" s="30" t="str">
        <f t="shared" si="2"/>
        <v>Apr</v>
      </c>
      <c r="C19" s="43" t="str">
        <f t="shared" si="3"/>
        <v>22</v>
      </c>
      <c r="D19" s="277" t="s">
        <v>1067</v>
      </c>
      <c r="E19" s="275"/>
      <c r="F19" s="276"/>
      <c r="G19" s="2"/>
      <c r="H19" s="2" t="s">
        <v>37</v>
      </c>
      <c r="O19" s="122" t="str">
        <f>TransEngToBookLangA(FixWed!D19)</f>
        <v>0</v>
      </c>
      <c r="P19" s="26" t="str">
        <f>IF(AND((LangANo()="2"),NOT(ISBLANK(FixWed!B19))), FixWed!B19,TRIM(LookupTransA(LookupId(2,FixWed!B19))))</f>
        <v>À importância da perspectiva</v>
      </c>
      <c r="Q19" s="26" t="str">
        <f>TRIM(LookupTransB(LookupId(2,FixWed!B19)))</f>
        <v>Importance of perspective</v>
      </c>
      <c r="R19" s="17" t="str">
        <f t="shared" si="4"/>
        <v>0</v>
      </c>
      <c r="S19" s="40" t="str">
        <f>TranslateRefs(FixWed!C19)</f>
        <v xml:space="preserve">2Rs 4:9,10; 6:15-17; Isa 6:1-8; Mat 1:19,20; 9:11-13; 13:11; 14:16; 19:13,14; 2Cor 4:16-18
</v>
      </c>
      <c r="T19" s="23" t="str">
        <f>TEXT(FixWed!$A19,"d")</f>
        <v>22</v>
      </c>
      <c r="U19" s="16" t="str">
        <f>TransEngToLangA(TEXT(FixWed!$A19,"mmm"))</f>
        <v>Abr</v>
      </c>
      <c r="V19" s="22" t="str">
        <f t="shared" si="5"/>
        <v>Apr</v>
      </c>
      <c r="X19" s="11" t="str">
        <f>CONCATENATE("\WedChapter{",PrepareLatexText(T19),"}{",PrepareLatexText(V19),"}{",PrepareLatexText(R19),"}{",PrepareLatexText(FixWed!E19),"}{", PrepareLatexText(P19),"}{",PrepareLatexText(Q19),"}")</f>
        <v>\WedChapter{\nf{22}}{Apr}{\nf{0}}{\nf{0}}{\`A\ import\^ancia\ da\ perspectiva}{Importance\ of\ perspective}</v>
      </c>
      <c r="Y19" s="11" t="str">
        <f t="shared" si="1"/>
        <v>\WedTopic{\nf{22}}{Apr}{\`A\ import\^ancia\ da\ perspectiva}{Importance\ of\ perspective}{\nf{2}Rs~\nf{4}:\nf{9},\nf{10};\ \nf{6}:\nf{15}\nobreakrefrange \nf{17};\ Isa~\nf{6}:\nf{1}\nobreakrefrange \nf{8};\ Mat~\nf{1}:\nf{19},\nf{20};\ \nf{9}:\nf{11}\nobreakrefrange \nf{13};\ \nf{13}:\nf{11};\ \nf{14}:\nf{16};\ \nf{19}:\nf{13},\nf{14};\ \nf{2}Cor~\nf{4}:\nf{16}\nobreakrefrange \nf{18}
}</v>
      </c>
      <c r="Z19" s="11" t="str">
        <f>(IF(0=FixWed!D19,IF(ISBLANK(FixWed!B19),"",Y19),X19))</f>
        <v>\WedTopic{\nf{22}}{Apr}{\`A\ import\^ancia\ da\ perspectiva}{Importance\ of\ perspective}{\nf{2}Rs~\nf{4}:\nf{9},\nf{10};\ \nf{6}:\nf{15}\nobreakrefrange \nf{17};\ Isa~\nf{6}:\nf{1}\nobreakrefrange \nf{8};\ Mat~\nf{1}:\nf{19},\nf{20};\ \nf{9}:\nf{11}\nobreakrefrange \nf{13};\ \nf{13}:\nf{11};\ \nf{14}:\nf{16};\ \nf{19}:\nf{13},\nf{14};\ \nf{2}Cor~\nf{4}:\nf{16}\nobreakrefrange \nf{18}
}</v>
      </c>
    </row>
    <row r="20" spans="2:26" s="15" customFormat="1" ht="30.5" thickBot="1">
      <c r="B20" s="30" t="str">
        <f t="shared" si="2"/>
        <v>Abr</v>
      </c>
      <c r="C20" s="43" t="str">
        <f t="shared" si="3"/>
        <v>29</v>
      </c>
      <c r="D20" s="55" t="s">
        <v>952</v>
      </c>
      <c r="E20" s="55" t="s">
        <v>984</v>
      </c>
      <c r="F20" s="50" t="s">
        <v>1068</v>
      </c>
      <c r="G20" s="2"/>
      <c r="H20" s="2" t="s">
        <v>37</v>
      </c>
      <c r="I20" s="11"/>
      <c r="O20" s="122" t="str">
        <f>TransEngToBookLangA(FixWed!D20)</f>
        <v>Neemias</v>
      </c>
      <c r="P20" s="26" t="str">
        <f>IF(AND((LangANo()="2"),NOT(ISBLANK(FixWed!B20))), FixWed!B20,TRIM(LookupTransA(LookupId(2,FixWed!B20))))</f>
        <v>União faz a força</v>
      </c>
      <c r="Q20" s="26" t="str">
        <f>TRIM(LookupTransB(LookupId(2,FixWed!B20)))</f>
        <v>Unity is strength</v>
      </c>
      <c r="R20" s="17" t="str">
        <f t="shared" si="4"/>
        <v>Neemias</v>
      </c>
      <c r="S20" s="40" t="str">
        <f>TranslateRefs(FixWed!C20)</f>
        <v>0</v>
      </c>
      <c r="T20" s="23" t="str">
        <f>TEXT(FixWed!$A20,"d")</f>
        <v>29</v>
      </c>
      <c r="U20" s="16" t="str">
        <f>TransEngToLangA(TEXT(FixWed!$A20,"mmm"))</f>
        <v>Abr</v>
      </c>
      <c r="V20" s="22" t="str">
        <f t="shared" si="5"/>
        <v>Abr</v>
      </c>
      <c r="W20" s="1"/>
      <c r="X20" s="11" t="str">
        <f>CONCATENATE("\WedChapter{",PrepareLatexText(T20),"}{",PrepareLatexText(V20),"}{",PrepareLatexText(R20),"}{",PrepareLatexText(FixWed!E20),"}{", PrepareLatexText(P20),"}{",PrepareLatexText(Q20),"}")</f>
        <v>\WedChapter{\nf{29}}{Abr}{Neemias}{\nf{3}}{Uni\~ao\ faz\ a\ for\c{c}a}{Unity\ is\ strength}</v>
      </c>
      <c r="Y20" s="11" t="str">
        <f t="shared" si="1"/>
        <v>\WedTopic{\nf{29}}{Abr}{Uni\~ao\ faz\ a\ for\c{c}a}{Unity\ is\ strength}{\nf{0}}</v>
      </c>
      <c r="Z20" s="11" t="str">
        <f>(IF(0=FixWed!D20,IF(ISBLANK(FixWed!B20),"",Y20),X20))</f>
        <v>\WedChapter{\nf{29}}{Abr}{Neemias}{\nf{3}}{Uni\~ao\ faz\ a\ for\c{c}a}{Unity\ is\ strength}</v>
      </c>
    </row>
    <row r="21" spans="2:26" s="15" customFormat="1" ht="32.4" customHeight="1" thickBot="1">
      <c r="B21" s="30" t="str">
        <f t="shared" si="2"/>
        <v>Mai</v>
      </c>
      <c r="C21" s="43" t="str">
        <f t="shared" si="3"/>
        <v>6</v>
      </c>
      <c r="D21" s="98" t="s">
        <v>952</v>
      </c>
      <c r="E21" s="98" t="s">
        <v>598</v>
      </c>
      <c r="F21" s="96" t="s">
        <v>1027</v>
      </c>
      <c r="G21" s="2"/>
      <c r="H21" s="2" t="s">
        <v>37</v>
      </c>
      <c r="I21" s="11"/>
      <c r="O21" s="122" t="str">
        <f>TransEngToBookLangA(FixWed!D21)</f>
        <v>Neemias</v>
      </c>
      <c r="P21" s="26" t="str">
        <f>IF(AND((LangANo()="2"),NOT(ISBLANK(FixWed!B21))), FixWed!B21,TRIM(LookupTransA(LookupId(2,FixWed!B21))))</f>
        <v>Quanto mais dedicação, maior oposição</v>
      </c>
      <c r="Q21" s="26" t="str">
        <f>TRIM(LookupTransB(LookupId(2,FixWed!B21)))</f>
        <v>Greater dedication; greater opposition</v>
      </c>
      <c r="R21" s="17" t="str">
        <f t="shared" si="4"/>
        <v>Nehemiah</v>
      </c>
      <c r="S21" s="40" t="str">
        <f>TranslateRefs(FixWed!C21)</f>
        <v>0</v>
      </c>
      <c r="T21" s="23" t="str">
        <f>TEXT(FixWed!$A21,"d")</f>
        <v>6</v>
      </c>
      <c r="U21" s="16" t="str">
        <f>TransEngToLangA(TEXT(FixWed!$A21,"mmm"))</f>
        <v>Mai</v>
      </c>
      <c r="V21" s="22" t="str">
        <f t="shared" si="5"/>
        <v>Mai</v>
      </c>
      <c r="W21" s="1"/>
      <c r="X21" s="11" t="str">
        <f>CONCATENATE("\WedChapter{",PrepareLatexText(T21),"}{",PrepareLatexText(V21),"}{",PrepareLatexText(R21),"}{",PrepareLatexText(FixWed!E21),"}{", PrepareLatexText(P21),"}{",PrepareLatexText(Q21),"}")</f>
        <v>\WedChapter{\nf{6}}{Mai}{Nehemiah}{\nf{4}}{Quanto\ mais\ dedica\c{c}\~ao,\ maior\ oposi\c{c}\~ao}{Greater\ dedication;\ greater\ opposition}</v>
      </c>
      <c r="Y21" s="11" t="str">
        <f t="shared" si="1"/>
        <v>\WedTopic{\nf{6}}{Mai}{Quanto\ mais\ dedica\c{c}\~ao,\ maior\ oposi\c{c}\~ao}{Greater\ dedication;\ greater\ opposition}{\nf{0}}</v>
      </c>
      <c r="Z21" s="11" t="str">
        <f>(IF(0=FixWed!D21,IF(ISBLANK(FixWed!B21),"",Y21),X21))</f>
        <v>\WedChapter{\nf{6}}{Mai}{Nehemiah}{\nf{4}}{Quanto\ mais\ dedica\c{c}\~ao,\ maior\ oposi\c{c}\~ao}{Greater\ dedication;\ greater\ opposition}</v>
      </c>
    </row>
    <row r="22" spans="2:26" s="15" customFormat="1" ht="22.5" customHeight="1" thickBot="1">
      <c r="B22" s="30" t="str">
        <f t="shared" si="2"/>
        <v>May</v>
      </c>
      <c r="C22" s="43" t="str">
        <f t="shared" si="3"/>
        <v>13</v>
      </c>
      <c r="D22" s="277" t="s">
        <v>1069</v>
      </c>
      <c r="E22" s="275"/>
      <c r="F22" s="276"/>
      <c r="G22" s="2"/>
      <c r="H22" s="11" t="s">
        <v>38</v>
      </c>
      <c r="I22" s="11"/>
      <c r="O22" s="122" t="str">
        <f>TransEngToBookLangA(FixWed!D22)</f>
        <v>0</v>
      </c>
      <c r="P22" s="26" t="str">
        <f>IF(AND((LangANo()="2"),NOT(ISBLANK(FixWed!B22))), FixWed!B22,TRIM(LookupTransA(LookupId(2,FixWed!B22))))</f>
        <v>Os esconderijos</v>
      </c>
      <c r="Q22" s="26" t="str">
        <f>TRIM(LookupTransB(LookupId(2,FixWed!B22)))</f>
        <v>Hiding Places</v>
      </c>
      <c r="R22" s="17" t="str">
        <f t="shared" si="4"/>
        <v>0</v>
      </c>
      <c r="S22" s="40" t="str">
        <f>TranslateRefs(FixWed!C22)</f>
        <v>Gén 3:8; Sal 27:5; 31:20,21; 139:11,12; Pro 30:26; Isa 25:4; Jer 23:24; Luc 12:2,3; Apoc 6:14-17</v>
      </c>
      <c r="T22" s="23" t="str">
        <f>TEXT(FixWed!$A22,"d")</f>
        <v>13</v>
      </c>
      <c r="U22" s="16" t="str">
        <f>TransEngToLangA(TEXT(FixWed!$A22,"mmm"))</f>
        <v>Mai</v>
      </c>
      <c r="V22" s="22" t="str">
        <f t="shared" si="5"/>
        <v>May</v>
      </c>
      <c r="W22" s="1"/>
      <c r="X22" s="11" t="str">
        <f>CONCATENATE("\WedChapter{",PrepareLatexText(T22),"}{",PrepareLatexText(V22),"}{",PrepareLatexText(R22),"}{",PrepareLatexText(FixWed!E22),"}{", PrepareLatexText(P22),"}{",PrepareLatexText(Q22),"}")</f>
        <v>\WedChapter{\nf{13}}{May}{\nf{0}}{\nf{0}}{Os\ esconderijos}{Hiding\ Places}</v>
      </c>
      <c r="Y22" s="11" t="str">
        <f t="shared" si="1"/>
        <v>\WedTopic{\nf{13}}{May}{Os\ esconderijos}{Hiding\ Places}{G\'en~\nf{3}:\nf{8};\ Sal~\nf{27}:\nf{5};\ \nf{31}:\nf{20},\nf{21};\ \nf{139}:\nf{11},\nf{12};\ Pro~\nf{30}:\nf{26};\ Isa~\nf{25}:\nf{4};\ Jer~\nf{23}:\nf{24};\ Luc~\nf{12}:\nf{2},\nf{3};\ Apoc~\nf{6}:\nf{14}\nobreakrefrange \nf{17}}</v>
      </c>
      <c r="Z22" s="11" t="str">
        <f>(IF(0=FixWed!D22,IF(ISBLANK(FixWed!B22),"",Y22),X22))</f>
        <v>\WedTopic{\nf{13}}{May}{Os\ esconderijos}{Hiding\ Places}{G\'en~\nf{3}:\nf{8};\ Sal~\nf{27}:\nf{5};\ \nf{31}:\nf{20},\nf{21};\ \nf{139}:\nf{11},\nf{12};\ Pro~\nf{30}:\nf{26};\ Isa~\nf{25}:\nf{4};\ Jer~\nf{23}:\nf{24};\ Luc~\nf{12}:\nf{2},\nf{3};\ Apoc~\nf{6}:\nf{14}\nobreakrefrange \nf{17}}</v>
      </c>
    </row>
    <row r="23" spans="2:26" s="15" customFormat="1" ht="30.5" thickBot="1">
      <c r="B23" s="30" t="str">
        <f t="shared" si="2"/>
        <v>Mai</v>
      </c>
      <c r="C23" s="43" t="str">
        <f t="shared" si="3"/>
        <v>20</v>
      </c>
      <c r="D23" s="55" t="s">
        <v>15</v>
      </c>
      <c r="E23" s="56" t="s">
        <v>602</v>
      </c>
      <c r="F23" s="50" t="s">
        <v>1028</v>
      </c>
      <c r="G23" s="2"/>
      <c r="H23" s="2" t="s">
        <v>37</v>
      </c>
      <c r="I23" s="11"/>
      <c r="O23" s="122" t="str">
        <f>TransEngToBookLangA(FixWed!D23)</f>
        <v>Neemias</v>
      </c>
      <c r="P23" s="26" t="str">
        <f>IF(AND((LangANo()="2"),NOT(ISBLANK(FixWed!B23))), FixWed!B23,TRIM(LookupTransA(LookupId(2,FixWed!B23))))</f>
        <v>O inimigo interior é o maior perigo</v>
      </c>
      <c r="Q23" s="26" t="str">
        <f>TRIM(LookupTransB(LookupId(2,FixWed!B23)))</f>
        <v>The enemy within is the biggest danger</v>
      </c>
      <c r="R23" s="17" t="str">
        <f t="shared" si="4"/>
        <v>Neemias</v>
      </c>
      <c r="S23" s="40" t="str">
        <f>TranslateRefs(FixWed!C23)</f>
        <v>0</v>
      </c>
      <c r="T23" s="23" t="str">
        <f>TEXT(FixWed!$A23,"d")</f>
        <v>20</v>
      </c>
      <c r="U23" s="16" t="str">
        <f>TransEngToLangA(TEXT(FixWed!$A23,"mmm"))</f>
        <v>Mai</v>
      </c>
      <c r="V23" s="22" t="str">
        <f t="shared" si="5"/>
        <v>Mai</v>
      </c>
      <c r="W23" s="1"/>
      <c r="X23" s="11" t="str">
        <f>CONCATENATE("\WedChapter{",PrepareLatexText(T23),"}{",PrepareLatexText(V23),"}{",PrepareLatexText(R23),"}{",PrepareLatexText(FixWed!E23),"}{", PrepareLatexText(P23),"}{",PrepareLatexText(Q23),"}")</f>
        <v>\WedChapter{\nf{20}}{Mai}{Neemias}{\nf{5}}{O\ inimigo\ interior\ \'e\ o\ maior\ perigo}{The\ enemy\ within\ is\ the\ biggest\ danger}</v>
      </c>
      <c r="Y23" s="11" t="str">
        <f t="shared" si="1"/>
        <v>\WedTopic{\nf{20}}{Mai}{O\ inimigo\ interior\ \'e\ o\ maior\ perigo}{The\ enemy\ within\ is\ the\ biggest\ danger}{\nf{0}}</v>
      </c>
      <c r="Z23" s="11" t="str">
        <f>(IF(0=FixWed!D23,IF(ISBLANK(FixWed!B23),"",Y23),X23))</f>
        <v>\WedChapter{\nf{20}}{Mai}{Neemias}{\nf{5}}{O\ inimigo\ interior\ \'e\ o\ maior\ perigo}{The\ enemy\ within\ is\ the\ biggest\ danger}</v>
      </c>
    </row>
    <row r="24" spans="2:26" ht="30" customHeight="1" thickBot="1">
      <c r="B24" s="30" t="str">
        <f t="shared" si="2"/>
        <v>May</v>
      </c>
      <c r="C24" s="43" t="str">
        <f t="shared" si="3"/>
        <v>27</v>
      </c>
      <c r="D24" s="95" t="s">
        <v>701</v>
      </c>
      <c r="E24" s="95" t="s">
        <v>595</v>
      </c>
      <c r="F24" s="97" t="s">
        <v>1029</v>
      </c>
      <c r="G24" s="2"/>
      <c r="H24" s="2" t="s">
        <v>37</v>
      </c>
      <c r="I24" s="6"/>
      <c r="O24" s="122" t="str">
        <f>TransEngToBookLangA(FixWed!D24)</f>
        <v>Neemias</v>
      </c>
      <c r="P24" s="26" t="str">
        <f>IF(AND((LangANo()="2"),NOT(ISBLANK(FixWed!B24))), FixWed!B24,TRIM(LookupTransA(LookupId(2,FixWed!B24))))</f>
        <v>Cuidado com o inimigo amigável</v>
      </c>
      <c r="Q24" s="26" t="str">
        <f>TRIM(LookupTransB(LookupId(2,FixWed!B24)))</f>
        <v>Beware of the friendly enemy</v>
      </c>
      <c r="R24" s="17" t="str">
        <f t="shared" si="4"/>
        <v>Nehemiah</v>
      </c>
      <c r="S24" s="40" t="str">
        <f>TranslateRefs(FixWed!C24)</f>
        <v>0</v>
      </c>
      <c r="T24" s="23" t="str">
        <f>TEXT(FixWed!$A24,"d")</f>
        <v>27</v>
      </c>
      <c r="U24" s="16" t="str">
        <f>TransEngToLangA(TEXT(FixWed!$A24,"mmm"))</f>
        <v>Mai</v>
      </c>
      <c r="V24" s="22" t="str">
        <f t="shared" si="5"/>
        <v>May</v>
      </c>
      <c r="X24" s="11" t="str">
        <f>CONCATENATE("\WedChapter{",PrepareLatexText(T24),"}{",PrepareLatexText(V24),"}{",PrepareLatexText(R24),"}{",PrepareLatexText(FixWed!E24),"}{", PrepareLatexText(P24),"}{",PrepareLatexText(Q24),"}")</f>
        <v>\WedChapter{\nf{27}}{May}{Nehemiah}{\nf{6}}{Cuidado\ com\ o\ inimigo\ amig\'avel}{Beware\ of\ the\ friendly\ enemy}</v>
      </c>
      <c r="Y24" s="11" t="str">
        <f t="shared" si="1"/>
        <v>\WedTopic{\nf{27}}{May}{Cuidado\ com\ o\ inimigo\ amig\'avel}{Beware\ of\ the\ friendly\ enemy}{\nf{0}}</v>
      </c>
      <c r="Z24" s="11" t="str">
        <f>(IF(0=FixWed!D24,IF(ISBLANK(FixWed!B24),"",Y24),X24))</f>
        <v>\WedChapter{\nf{27}}{May}{Nehemiah}{\nf{6}}{Cuidado\ com\ o\ inimigo\ amig\'avel}{Beware\ of\ the\ friendly\ enemy}</v>
      </c>
    </row>
    <row r="25" spans="2:26" ht="16" thickBot="1">
      <c r="B25" s="30" t="str">
        <f t="shared" si="2"/>
        <v>Jun</v>
      </c>
      <c r="C25" s="43" t="str">
        <f t="shared" si="3"/>
        <v>3</v>
      </c>
      <c r="D25" s="274" t="s">
        <v>1070</v>
      </c>
      <c r="E25" s="272"/>
      <c r="F25" s="273"/>
      <c r="G25" s="2"/>
      <c r="H25" s="11" t="s">
        <v>38</v>
      </c>
      <c r="O25" s="122" t="str">
        <f>TransEngToBookLangA(FixWed!D25)</f>
        <v>0</v>
      </c>
      <c r="P25" s="26" t="str">
        <f>IF(AND((LangANo()="2"),NOT(ISBLANK(FixWed!B25))), FixWed!B25,TRIM(LookupTransA(LookupId(2,FixWed!B25))))</f>
        <v>Serviço no tempo apropriado</v>
      </c>
      <c r="Q25" s="26" t="str">
        <f>TRIM(LookupTransB(LookupId(2,FixWed!B25)))</f>
        <v>Timely service</v>
      </c>
      <c r="R25" s="17" t="str">
        <f t="shared" si="4"/>
        <v>0</v>
      </c>
      <c r="S25" s="40" t="str">
        <f>TranslateRefs(FixWed!C25)</f>
        <v>Gén 18:2-8; Jos 2:6-21; 1Sa 25:18-33; Mar 14:8; 15:40-47; Ato 23:16-23; 28:15; 2Tim 1:16-18</v>
      </c>
      <c r="T25" s="23" t="str">
        <f>TEXT(FixWed!$A25,"d")</f>
        <v>3</v>
      </c>
      <c r="U25" s="16" t="str">
        <f>TransEngToLangA(TEXT(FixWed!$A25,"mmm"))</f>
        <v>Jun</v>
      </c>
      <c r="V25" s="22" t="str">
        <f t="shared" si="5"/>
        <v>Jun</v>
      </c>
      <c r="X25" s="11" t="str">
        <f>CONCATENATE("\WedChapter{",PrepareLatexText(T25),"}{",PrepareLatexText(V25),"}{",PrepareLatexText(R25),"}{",PrepareLatexText(FixWed!E25),"}{", PrepareLatexText(P25),"}{",PrepareLatexText(Q25),"}")</f>
        <v>\WedChapter{\nf{3}}{Jun}{\nf{0}}{\nf{0}}{Servi\c{c}o\ no\ tempo\ apropriado}{Timely\ service}</v>
      </c>
      <c r="Y25" s="11" t="str">
        <f t="shared" si="1"/>
        <v>\WedTopic{\nf{3}}{Jun}{Servi\c{c}o\ no\ tempo\ apropriado}{Timely\ service}{G\'en~\nf{18}:\nf{2}\nobreakrefrange \nf{8};\ Jos~\nf{2}:\nf{6}\nobreakrefrange \nf{21};\ \nf{1}Sa~\nf{25}:\nf{18}\nobreakrefrange \nf{33};\ Mar~\nf{14}:\nf{8};\ \nf{15}:\nf{40}\nobreakrefrange \nf{47};\ Ato~\nf{23}:\nf{16}\nobreakrefrange \nf{23};\ \nf{28}:\nf{15};\ \nf{2}Tim~\nf{1}:\nf{16}\nobreakrefrange \nf{18}}</v>
      </c>
      <c r="Z25" s="11" t="str">
        <f>(IF(0=FixWed!D25,IF(ISBLANK(FixWed!B25),"",Y25),X25))</f>
        <v>\WedTopic{\nf{3}}{Jun}{Servi\c{c}o\ no\ tempo\ apropriado}{Timely\ service}{G\'en~\nf{18}:\nf{2}\nobreakrefrange \nf{8};\ Jos~\nf{2}:\nf{6}\nobreakrefrange \nf{21};\ \nf{1}Sa~\nf{25}:\nf{18}\nobreakrefrange \nf{33};\ Mar~\nf{14}:\nf{8};\ \nf{15}:\nf{40}\nobreakrefrange \nf{47};\ Ato~\nf{23}:\nf{16}\nobreakrefrange \nf{23};\ \nf{28}:\nf{15};\ \nf{2}Tim~\nf{1}:\nf{16}\nobreakrefrange \nf{18}}</v>
      </c>
    </row>
    <row r="26" spans="2:26" s="15" customFormat="1" ht="15" customHeight="1" thickBot="1">
      <c r="B26" s="30" t="str">
        <f t="shared" si="2"/>
        <v>Jun</v>
      </c>
      <c r="C26" s="43" t="str">
        <f t="shared" si="3"/>
        <v>10</v>
      </c>
      <c r="D26" s="55" t="s">
        <v>701</v>
      </c>
      <c r="E26" s="175">
        <v>2</v>
      </c>
      <c r="F26" s="179" t="s">
        <v>1030</v>
      </c>
      <c r="G26" s="2"/>
      <c r="H26" s="11" t="s">
        <v>38</v>
      </c>
      <c r="I26" s="11"/>
      <c r="O26" s="122" t="str">
        <f>TransEngToBookLangA(FixWed!D26)</f>
        <v>Neemias</v>
      </c>
      <c r="P26" s="26" t="str">
        <f>IF(AND((LangANo()="2"),NOT(ISBLANK(FixWed!B26))), FixWed!B26,TRIM(LookupTransA(LookupId(2,FixWed!B26))))</f>
        <v>Ficando frutíferos por deleitar-se na vontade de Deus</v>
      </c>
      <c r="Q26" s="26" t="str">
        <f>TRIM(LookupTransB(LookupId(2,FixWed!B26)))</f>
        <v>Fruitfulness by delighting in God's will</v>
      </c>
      <c r="R26" s="17" t="str">
        <f t="shared" si="4"/>
        <v>Neemias</v>
      </c>
      <c r="S26" s="40" t="str">
        <f>TranslateRefs(FixWed!C26)</f>
        <v>0</v>
      </c>
      <c r="T26" s="23" t="str">
        <f>TEXT(FixWed!$A26,"d")</f>
        <v>10</v>
      </c>
      <c r="U26" s="16" t="str">
        <f>TransEngToLangA(TEXT(FixWed!$A26,"mmm"))</f>
        <v>Jun</v>
      </c>
      <c r="V26" s="22" t="str">
        <f t="shared" si="5"/>
        <v>Jun</v>
      </c>
      <c r="W26" s="1"/>
      <c r="X26" s="11" t="str">
        <f>CONCATENATE("\WedChapter{",PrepareLatexText(T26),"}{",PrepareLatexText(V26),"}{",PrepareLatexText(R26),"}{",PrepareLatexText(FixWed!E26),"}{", PrepareLatexText(P26),"}{",PrepareLatexText(Q26),"}")</f>
        <v>\WedChapter{\nf{10}}{Jun}{Neemias}{\nf{7}\ \textendash \ \nf{8}}{Ficando\ frut\'iferos\ por\ deleitar\textendash se\ na\ vontade\ de\ Deus}{Fruitfulness\ by\ delighting\ in\ God's\ will}</v>
      </c>
      <c r="Y26" s="11" t="str">
        <f t="shared" si="1"/>
        <v>\WedTopic{\nf{10}}{Jun}{Ficando\ frut\'iferos\ por\ deleitar\textendash se\ na\ vontade\ de\ Deus}{Fruitfulness\ by\ delighting\ in\ God's\ will}{\nf{0}}</v>
      </c>
      <c r="Z26" s="11" t="str">
        <f>(IF(0=FixWed!D26,IF(ISBLANK(FixWed!B26),"",Y26),X26))</f>
        <v>\WedChapter{\nf{10}}{Jun}{Neemias}{\nf{7}\ \textendash \ \nf{8}}{Ficando\ frut\'iferos\ por\ deleitar\textendash se\ na\ vontade\ de\ Deus}{Fruitfulness\ by\ delighting\ in\ God's\ will}</v>
      </c>
    </row>
    <row r="27" spans="2:26" ht="15.9" customHeight="1" thickBot="1">
      <c r="B27" s="30" t="str">
        <f t="shared" si="2"/>
        <v>Jun</v>
      </c>
      <c r="C27" s="43" t="str">
        <f t="shared" si="3"/>
        <v>17</v>
      </c>
      <c r="D27" s="95" t="s">
        <v>701</v>
      </c>
      <c r="E27" s="95" t="s">
        <v>599</v>
      </c>
      <c r="F27" s="97" t="s">
        <v>1012</v>
      </c>
      <c r="G27" s="2"/>
      <c r="H27" s="2"/>
      <c r="I27" s="6"/>
      <c r="O27" s="122" t="str">
        <f>TransEngToBookLangA(FixWed!D27)</f>
        <v>Neemias</v>
      </c>
      <c r="P27" s="26" t="str">
        <f>IF(AND((LangANo()="2"),NOT(ISBLANK(FixWed!B27))), FixWed!B27,TRIM(LookupTransA(LookupId(2,FixWed!B27))))</f>
        <v>A majestade de Deus e a depravação do homem</v>
      </c>
      <c r="Q27" s="26" t="str">
        <f>TRIM(LookupTransB(LookupId(2,FixWed!B27)))</f>
        <v>Majesty of God and depravity of man</v>
      </c>
      <c r="R27" s="17" t="str">
        <f t="shared" si="4"/>
        <v>Nehemiah</v>
      </c>
      <c r="S27" s="40" t="str">
        <f>TranslateRefs(FixWed!C27)</f>
        <v>0</v>
      </c>
      <c r="T27" s="23" t="str">
        <f>TEXT(FixWed!$A27,"d")</f>
        <v>17</v>
      </c>
      <c r="U27" s="16" t="str">
        <f>TransEngToLangA(TEXT(FixWed!$A27,"mmm"))</f>
        <v>Jun</v>
      </c>
      <c r="V27" s="22" t="str">
        <f t="shared" si="5"/>
        <v>Jun</v>
      </c>
      <c r="X27" s="11" t="str">
        <f>CONCATENATE("\WedChapter{",PrepareLatexText(T27),"}{",PrepareLatexText(V27),"}{",PrepareLatexText(R27),"}{",PrepareLatexText(FixWed!E27),"}{", PrepareLatexText(P27),"}{",PrepareLatexText(Q27),"}")</f>
        <v>\WedChapter{\nf{17}}{Jun}{Nehemiah}{\nf{9}}{A\ majestade\ de\ Deus\ e\ a\ deprava\c{c}\~ao\ do\ homem}{Majesty\ of\ God\ and\ depravity\ of\ man}</v>
      </c>
      <c r="Y27" s="11" t="str">
        <f t="shared" si="1"/>
        <v>\WedTopic{\nf{17}}{Jun}{A\ majestade\ de\ Deus\ e\ a\ deprava\c{c}\~ao\ do\ homem}{Majesty\ of\ God\ and\ depravity\ of\ man}{\nf{0}}</v>
      </c>
      <c r="Z27" s="11" t="str">
        <f>(IF(0=FixWed!D27,IF(ISBLANK(FixWed!B27),"",Y27),X27))</f>
        <v>\WedChapter{\nf{17}}{Jun}{Nehemiah}{\nf{9}}{A\ majestade\ de\ Deus\ e\ a\ deprava\c{c}\~ao\ do\ homem}{Majesty\ of\ God\ and\ depravity\ of\ man}</v>
      </c>
    </row>
    <row r="28" spans="2:26" ht="16" thickBot="1">
      <c r="B28" s="30" t="str">
        <f t="shared" si="2"/>
        <v>Jun</v>
      </c>
      <c r="C28" s="43" t="str">
        <f t="shared" si="3"/>
        <v>24</v>
      </c>
      <c r="D28" s="274" t="s">
        <v>1071</v>
      </c>
      <c r="E28" s="272"/>
      <c r="F28" s="273"/>
      <c r="G28" s="2"/>
      <c r="H28" s="11" t="s">
        <v>38</v>
      </c>
      <c r="O28" s="122" t="str">
        <f>TransEngToBookLangA(FixWed!D28)</f>
        <v>0</v>
      </c>
      <c r="P28" s="26" t="str">
        <f>IF(AND((LangANo()="2"),NOT(ISBLANK(FixWed!B28))), FixWed!B28,TRIM(LookupTransA(LookupId(2,FixWed!B28))))</f>
        <v>A calma do povo de Deus</v>
      </c>
      <c r="Q28" s="26" t="str">
        <f>TRIM(LookupTransB(LookupId(2,FixWed!B28)))</f>
        <v>Composure of God's people</v>
      </c>
      <c r="R28" s="17" t="str">
        <f t="shared" si="4"/>
        <v>0</v>
      </c>
      <c r="S28" s="40" t="str">
        <f>TranslateRefs(FixWed!C28)</f>
        <v xml:space="preserve">Sal 131:2; Pro 1:33; Isa 28:16; 32:17; Lam 3:26; Dan 2:15-18; Rom 5:1; 1Ped 3:12
</v>
      </c>
      <c r="T28" s="23" t="str">
        <f>TEXT(FixWed!$A28,"d")</f>
        <v>24</v>
      </c>
      <c r="U28" s="16" t="str">
        <f>TransEngToLangA(TEXT(FixWed!$A28,"mmm"))</f>
        <v>Jun</v>
      </c>
      <c r="V28" s="22" t="str">
        <f t="shared" si="5"/>
        <v>Jun</v>
      </c>
      <c r="X28" s="11" t="str">
        <f>CONCATENATE("\WedChapter{",PrepareLatexText(T28),"}{",PrepareLatexText(V28),"}{",PrepareLatexText(R28),"}{",PrepareLatexText(FixWed!E28),"}{", PrepareLatexText(P28),"}{",PrepareLatexText(Q28),"}")</f>
        <v>\WedChapter{\nf{24}}{Jun}{\nf{0}}{\nf{0}}{A\ calma\ do\ povo\ de\ Deus}{Composure\ of\ God's\ people}</v>
      </c>
      <c r="Y28" s="11" t="str">
        <f t="shared" si="1"/>
        <v>\WedTopic{\nf{24}}{Jun}{A\ calma\ do\ povo\ de\ Deus}{Composure\ of\ God's\ people}{Sal~\nf{131}:\nf{2};\ Pro~\nf{1}:\nf{33};\ Isa~\nf{28}:\nf{16};\ \nf{32}:\nf{17};\ Lam~\nf{3}:\nf{26};\ Dan~\nf{2}:\nf{15}\nobreakrefrange \nf{18};\ Rom~\nf{5}:\nf{1};\ \nf{1}Ped~\nf{3}:\nf{12}
}</v>
      </c>
      <c r="Z28" s="11" t="str">
        <f>(IF(0=FixWed!D28,IF(ISBLANK(FixWed!B28),"",Y28),X28))</f>
        <v>\WedTopic{\nf{24}}{Jun}{A\ calma\ do\ povo\ de\ Deus}{Composure\ of\ God's\ people}{Sal~\nf{131}:\nf{2};\ Pro~\nf{1}:\nf{33};\ Isa~\nf{28}:\nf{16};\ \nf{32}:\nf{17};\ Lam~\nf{3}:\nf{26};\ Dan~\nf{2}:\nf{15}\nobreakrefrange \nf{18};\ Rom~\nf{5}:\nf{1};\ \nf{1}Ped~\nf{3}:\nf{12}
}</v>
      </c>
    </row>
    <row r="29" spans="2:26" ht="30.9" customHeight="1" thickBot="1">
      <c r="B29" s="32" t="str">
        <f t="shared" si="2"/>
        <v>Jul</v>
      </c>
      <c r="C29" s="44" t="str">
        <f t="shared" si="3"/>
        <v>1</v>
      </c>
      <c r="D29" s="54" t="s">
        <v>701</v>
      </c>
      <c r="E29" s="177">
        <v>4</v>
      </c>
      <c r="F29" s="171" t="s">
        <v>1031</v>
      </c>
      <c r="G29" s="2"/>
      <c r="H29" s="2" t="s">
        <v>37</v>
      </c>
      <c r="I29" s="6"/>
      <c r="O29" s="122" t="str">
        <f>TransEngToBookLangA(FixWed!D29)</f>
        <v>Neemias</v>
      </c>
      <c r="P29" s="26" t="str">
        <f>IF(AND((LangANo()="2"),NOT(ISBLANK(FixWed!B29))), FixWed!B29,TRIM(LookupTransA(LookupId(2,FixWed!B29))))</f>
        <v>Trate primeiro à causa, não os sintomas</v>
      </c>
      <c r="Q29" s="26" t="str">
        <f>TRIM(LookupTransB(LookupId(2,FixWed!B29)))</f>
        <v>First treat the cause, not the symptoms</v>
      </c>
      <c r="R29" s="17" t="str">
        <f t="shared" si="4"/>
        <v>Neemias</v>
      </c>
      <c r="S29" s="40" t="str">
        <f>TranslateRefs(FixWed!C29)</f>
        <v>0</v>
      </c>
      <c r="T29" s="23" t="str">
        <f>TEXT(FixWed!$A29,"d")</f>
        <v>1</v>
      </c>
      <c r="U29" s="16" t="str">
        <f>TransEngToLangA(TEXT(FixWed!$A29,"mmm"))</f>
        <v>Jul</v>
      </c>
      <c r="V29" s="22" t="str">
        <f t="shared" si="5"/>
        <v>Jul</v>
      </c>
      <c r="X29" s="11" t="str">
        <f>CONCATENATE("\WedChapter{",PrepareLatexText(T29),"}{",PrepareLatexText(V29),"}{",PrepareLatexText(R29),"}{",PrepareLatexText(FixWed!E29),"}{", PrepareLatexText(P29),"}{",PrepareLatexText(Q29),"}")</f>
        <v>\WedChapter{\nf{1}}{Jul}{Neemias}{\nf{10}\ \textendash \ \nf{11}}{Trate\ primeiro\ \`a\ causa,\ n\~ao\ os\ sintomas}{First\ treat\ the\ cause,\ not\ the\ symptoms}</v>
      </c>
      <c r="Y29" s="11" t="str">
        <f t="shared" si="1"/>
        <v>\WedTopic{\nf{1}}{Jul}{Trate\ primeiro\ \`a\ causa,\ n\~ao\ os\ sintomas}{First\ treat\ the\ cause,\ not\ the\ symptoms}{\nf{0}}</v>
      </c>
      <c r="Z29" s="11" t="str">
        <f>(IF(0=FixWed!D29,IF(ISBLANK(FixWed!B29),"",Y29),X29))</f>
        <v>\WedChapter{\nf{1}}{Jul}{Neemias}{\nf{10}\ \textendash \ \nf{11}}{Trate\ primeiro\ \`a\ causa,\ n\~ao\ os\ sintomas}{First\ treat\ the\ cause,\ not\ the\ symptoms}</v>
      </c>
    </row>
    <row r="30" spans="2:26" ht="30.9" customHeight="1" thickBot="1">
      <c r="B30" s="32" t="str">
        <f>V30</f>
        <v>Jul</v>
      </c>
      <c r="C30" s="44" t="str">
        <f>T30</f>
        <v>8</v>
      </c>
      <c r="D30" s="100"/>
      <c r="E30" s="100"/>
      <c r="F30" s="101" t="s">
        <v>37</v>
      </c>
      <c r="G30" s="2"/>
      <c r="H30" s="2" t="s">
        <v>37</v>
      </c>
      <c r="I30" s="6"/>
      <c r="O30" s="122" t="str">
        <f>TransEngToBookLangA(FixWed!D30)</f>
        <v>Neemias</v>
      </c>
      <c r="P30" s="26" t="str">
        <f>IF(AND((LangANo()="2"),NOT(ISBLANK(FixWed!B30))), FixWed!B30,TRIM(LookupTransA(LookupId(2,FixWed!B30))))</f>
        <v>Os santificados glorificando Deus</v>
      </c>
      <c r="Q30" s="26" t="str">
        <f>TRIM(LookupTransB(LookupId(2,FixWed!B30)))</f>
        <v>A sanctified people glorfying God</v>
      </c>
      <c r="R30" s="17" t="str">
        <f t="shared" si="4"/>
        <v>Nehemiah</v>
      </c>
      <c r="S30" s="40" t="str">
        <f>TranslateRefs(FixWed!C30)</f>
        <v>0</v>
      </c>
      <c r="T30" s="23" t="str">
        <f>TEXT(FixWed!$A30,"d")</f>
        <v>8</v>
      </c>
      <c r="U30" s="16" t="str">
        <f>TransEngToLangA(TEXT(FixWed!$A30,"mmm"))</f>
        <v>Jul</v>
      </c>
      <c r="V30" s="22" t="str">
        <f t="shared" si="5"/>
        <v>Jul</v>
      </c>
      <c r="X30" s="11" t="str">
        <f>CONCATENATE("\WedChapter{",PrepareLatexText(T30),"}{",PrepareLatexText(V30),"}{",PrepareLatexText(R30),"}{",PrepareLatexText(FixWed!E30),"}{", PrepareLatexText(P30),"}{",PrepareLatexText(Q30),"}")</f>
        <v>\WedChapter{\nf{8}}{Jul}{Nehemiah}{\nf{12}}{Os\ santificados\ glorificando\ Deus}{A\ sanctified\ people\ glorfying\ God}</v>
      </c>
      <c r="Y30" s="11" t="str">
        <f t="shared" si="1"/>
        <v>\WedTopic{\nf{8}}{Jul}{Os\ santificados\ glorificando\ Deus}{A\ sanctified\ people\ glorfying\ God}{\nf{0}}</v>
      </c>
      <c r="Z30" s="11" t="str">
        <f>(IF(0=FixWed!D30,IF(ISBLANK(FixWed!B30),"",Y30),X30))</f>
        <v>\WedChapter{\nf{8}}{Jul}{Nehemiah}{\nf{12}}{Os\ santificados\ glorificando\ Deus}{A\ sanctified\ people\ glorfying\ God}</v>
      </c>
    </row>
    <row r="31" spans="2:26" ht="16" thickBot="1">
      <c r="O31" s="122" t="str">
        <f>TransEngToBookLangA(FixWed!D31)</f>
        <v>0</v>
      </c>
      <c r="P31" s="26" t="str">
        <f>IF(AND((LangANo()="2"),NOT(ISBLANK(FixWed!B31))), FixWed!B31,TRIM(LookupTransA(LookupId(2,FixWed!B31))))</f>
        <v/>
      </c>
      <c r="Q31" s="26" t="str">
        <f>TRIM(LookupTransB(LookupId(2,FixWed!B31)))</f>
        <v/>
      </c>
      <c r="R31" s="17" t="str">
        <f t="shared" si="4"/>
        <v>0</v>
      </c>
      <c r="S31" s="40" t="str">
        <f>TranslateRefs(FixWed!C31)</f>
        <v>0</v>
      </c>
      <c r="T31" s="23" t="str">
        <f>TEXT(FixWed!$A31,"d")</f>
        <v>0</v>
      </c>
      <c r="U31" s="16" t="str">
        <f>TransEngToLangA(TEXT(FixWed!$A31,"mmm"))</f>
        <v>Jan</v>
      </c>
      <c r="V31" s="22" t="str">
        <f t="shared" si="5"/>
        <v>Jan</v>
      </c>
      <c r="X31" s="11" t="str">
        <f>CONCATENATE("\WedChapter{",PrepareLatexText(T31),"}{",PrepareLatexText(V31),"}{",PrepareLatexText(R31),"}{",PrepareLatexText(FixWed!E31),"}{", PrepareLatexText(P31),"}{",PrepareLatexText(Q31),"}")</f>
        <v>\WedChapter{\nf{0}}{Jan}{\nf{0}}{\nf{0}}{}{}</v>
      </c>
      <c r="Y31" s="11" t="str">
        <f t="shared" si="1"/>
        <v>\WedTopic{\nf{0}}{Jan}{}{}{\nf{0}}</v>
      </c>
      <c r="Z31" s="11" t="str">
        <f>(IF(0=FixWed!D31,IF(ISBLANK(FixWed!B31),"",Y31),X31))</f>
        <v>\WedTopic{\nf{0}}{Jan}{}{}{\nf{0}}</v>
      </c>
    </row>
    <row r="32" spans="2:26" ht="45.9" customHeight="1" thickBot="1">
      <c r="B32" s="279" t="str">
        <f>CONCATENATE("Southern Africa - Suider-Afrika ",'Edit Translations'!B$12,"Preview")</f>
        <v>Southern Africa - Suider-Afrika 2026Preview</v>
      </c>
      <c r="C32" s="280"/>
      <c r="D32" s="280"/>
      <c r="E32" s="280"/>
      <c r="F32" s="281"/>
      <c r="O32" s="122" t="str">
        <f>TransEngToBookLangA(FixWed!D32)</f>
        <v>0</v>
      </c>
      <c r="P32" s="26" t="str">
        <f>IF(AND((LangANo()="2"),NOT(ISBLANK(FixWed!B32))), FixWed!B32,TRIM(LookupTransA(LookupId(2,FixWed!B32))))</f>
        <v/>
      </c>
      <c r="Q32" s="26" t="str">
        <f>TRIM(LookupTransB(LookupId(2,FixWed!B32)))</f>
        <v/>
      </c>
      <c r="R32" s="17" t="str">
        <f t="shared" si="4"/>
        <v>0</v>
      </c>
      <c r="S32" s="40" t="str">
        <f>TranslateRefs(FixWed!C32)</f>
        <v>0</v>
      </c>
      <c r="T32" s="23" t="str">
        <f>TEXT(FixWed!$A32,"d")</f>
        <v>0</v>
      </c>
      <c r="U32" s="16" t="str">
        <f>TransEngToLangA(TEXT(FixWed!$A32,"mmm"))</f>
        <v>Jan</v>
      </c>
      <c r="V32" s="22" t="str">
        <f t="shared" si="5"/>
        <v>Jan</v>
      </c>
      <c r="X32" s="11" t="str">
        <f>CONCATENATE("\WedChapter{",PrepareLatexText(T32),"}{",PrepareLatexText(V32),"}{",PrepareLatexText(R32),"}{",PrepareLatexText(FixWed!E32),"}{", PrepareLatexText(P32),"}{",PrepareLatexText(Q32),"}")</f>
        <v>\WedChapter{\nf{0}}{Jan}{\nf{0}}{\nf{0}}{}{}</v>
      </c>
      <c r="Y32" s="11" t="str">
        <f t="shared" si="1"/>
        <v>\WedTopic{\nf{0}}{Jan}{}{}{\nf{0}}</v>
      </c>
      <c r="Z32" s="11" t="str">
        <f>(IF(0=FixWed!D32,IF(ISBLANK(FixWed!B32),"",Y32),X32))</f>
        <v>\WedTopic{\nf{0}}{Jan}{}{}{\nf{0}}</v>
      </c>
    </row>
    <row r="33" spans="2:38" ht="16.5" customHeight="1" thickBot="1">
      <c r="B33" s="282" t="s">
        <v>13</v>
      </c>
      <c r="C33" s="283"/>
      <c r="D33" s="284"/>
      <c r="E33" s="284"/>
      <c r="F33" s="285"/>
      <c r="G33" s="2"/>
      <c r="H33" s="2"/>
      <c r="O33" s="122" t="str">
        <f>TransEngToBookLangA(FixWed!D33)</f>
        <v>0</v>
      </c>
      <c r="P33" s="26" t="str">
        <f>IF(AND((LangANo()="2"),NOT(ISBLANK(FixWed!B33))), FixWed!B33,TRIM(LookupTransA(LookupId(2,FixWed!B33))))</f>
        <v/>
      </c>
      <c r="Q33" s="26" t="str">
        <f>TRIM(LookupTransB(LookupId(2,FixWed!B33)))</f>
        <v/>
      </c>
      <c r="R33" s="17" t="str">
        <f t="shared" si="4"/>
        <v>0</v>
      </c>
      <c r="S33" s="40" t="str">
        <f>TranslateRefs(FixWed!C33)</f>
        <v>0</v>
      </c>
      <c r="T33" s="23" t="str">
        <f>TEXT(FixWed!$A33,"d")</f>
        <v>0</v>
      </c>
      <c r="U33" s="16" t="str">
        <f>TransEngToLangA(TEXT(FixWed!$A33,"mmm"))</f>
        <v>Jan</v>
      </c>
      <c r="V33" s="22" t="str">
        <f t="shared" si="5"/>
        <v>Jan</v>
      </c>
      <c r="X33" s="11" t="str">
        <f>CONCATENATE("\WedChapter{",PrepareLatexText(T33),"}{",PrepareLatexText(V33),"}{",PrepareLatexText(R33),"}{",PrepareLatexText(FixWed!E33),"}{", PrepareLatexText(P33),"}{",PrepareLatexText(Q33),"}")</f>
        <v>\WedChapter{\nf{0}}{Jan}{\nf{0}}{\nf{0}}{}{}</v>
      </c>
      <c r="Y33" s="11" t="str">
        <f t="shared" si="1"/>
        <v>\WedTopic{\nf{0}}{Jan}{}{}{\nf{0}}</v>
      </c>
      <c r="Z33" s="11" t="str">
        <f>(IF(0=FixWed!D33,IF(ISBLANK(FixWed!B33),"",Y33),X33))</f>
        <v>\WedTopic{\nf{0}}{Jan}{}{}{\nf{0}}</v>
      </c>
    </row>
    <row r="34" spans="2:38" s="15" customFormat="1" ht="30.9" customHeight="1" thickBot="1">
      <c r="B34" s="29" t="str">
        <f>V34</f>
        <v>Jul</v>
      </c>
      <c r="C34" s="43" t="str">
        <f>T34</f>
        <v>15</v>
      </c>
      <c r="D34" s="57" t="s">
        <v>701</v>
      </c>
      <c r="E34" s="180">
        <v>5</v>
      </c>
      <c r="F34" s="173" t="s">
        <v>1032</v>
      </c>
      <c r="G34" s="2"/>
      <c r="H34" s="11" t="s">
        <v>38</v>
      </c>
      <c r="I34" s="11"/>
      <c r="O34" s="122" t="str">
        <f>TransEngToBookLangA(FixWed!D34)</f>
        <v>Neemias</v>
      </c>
      <c r="P34" s="26" t="str">
        <f>IF(AND((LangANo()="2"),NOT(ISBLANK(FixWed!B34))), FixWed!B34,TRIM(LookupTransA(LookupId(2,FixWed!B34))))</f>
        <v>As paredes de separação desmoronando</v>
      </c>
      <c r="Q34" s="26" t="str">
        <f>TRIM(LookupTransB(LookupId(2,FixWed!B34)))</f>
        <v>Walls of separation crumbling</v>
      </c>
      <c r="R34" s="17" t="str">
        <f t="shared" si="4"/>
        <v>Neemias</v>
      </c>
      <c r="S34" s="40" t="str">
        <f>TranslateRefs(FixWed!C34)</f>
        <v>0</v>
      </c>
      <c r="T34" s="23" t="str">
        <f>TEXT(FixWed!$A34,"d")</f>
        <v>15</v>
      </c>
      <c r="U34" s="16" t="str">
        <f>TransEngToLangA(TEXT(FixWed!$A34,"mmm"))</f>
        <v>Jul</v>
      </c>
      <c r="V34" s="22" t="str">
        <f t="shared" si="5"/>
        <v>Jul</v>
      </c>
      <c r="W34" s="1"/>
      <c r="X34" s="11" t="str">
        <f>CONCATENATE("\WedChapter{",PrepareLatexText(T34),"}{",PrepareLatexText(V34),"}{",PrepareLatexText(R34),"}{",PrepareLatexText(FixWed!E34),"}{", PrepareLatexText(P34),"}{",PrepareLatexText(Q34),"}")</f>
        <v>\WedChapter{\nf{15}}{Jul}{Neemias}{\nf{13}}{As\ paredes\ de\ separa\c{c}\~ao\ desmoronando}{Walls\ of\ separation\ crumbling}</v>
      </c>
      <c r="Y34" s="11" t="str">
        <f t="shared" si="1"/>
        <v>\WedTopic{\nf{15}}{Jul}{As\ paredes\ de\ separa\c{c}\~ao\ desmoronando}{Walls\ of\ separation\ crumbling}{\nf{0}}</v>
      </c>
      <c r="Z34" s="11" t="str">
        <f>(IF(0=FixWed!D34,IF(ISBLANK(FixWed!B34),"",Y34),X34))</f>
        <v>\WedChapter{\nf{15}}{Jul}{Neemias}{\nf{13}}{As\ paredes\ de\ separa\c{c}\~ao\ desmoronando}{Walls\ of\ separation\ crumbling}</v>
      </c>
      <c r="AA34" s="1"/>
      <c r="AB34" s="1"/>
    </row>
    <row r="35" spans="2:38" s="15" customFormat="1" ht="38.4" customHeight="1" thickBot="1">
      <c r="B35" s="32" t="str">
        <f>V35</f>
        <v>Jul</v>
      </c>
      <c r="C35" s="44" t="str">
        <f>T35</f>
        <v>22</v>
      </c>
      <c r="D35" s="271" t="s">
        <v>1072</v>
      </c>
      <c r="E35" s="272"/>
      <c r="F35" s="273"/>
      <c r="G35" s="2"/>
      <c r="H35" s="11" t="s">
        <v>38</v>
      </c>
      <c r="I35" s="11"/>
      <c r="O35" s="122" t="str">
        <f>TransEngToBookLangA(FixWed!D35)</f>
        <v>0</v>
      </c>
      <c r="P35" s="26" t="str">
        <f>IF(AND((LangANo()="2"),NOT(ISBLANK(FixWed!B35))), FixWed!B35,TRIM(LookupTransA(LookupId(2,FixWed!B35))))</f>
        <v>As armas da nossa luta</v>
      </c>
      <c r="Q35" s="26" t="str">
        <f>TRIM(LookupTransB(LookupId(2,FixWed!B35)))</f>
        <v>Weapons of our warfare</v>
      </c>
      <c r="R35" s="17" t="str">
        <f t="shared" si="4"/>
        <v>0</v>
      </c>
      <c r="S35" s="40" t="str">
        <f>TranslateRefs(FixWed!C35)</f>
        <v>1Sa 17:45; Mat 4:4; 26:52; 2Cor 10:4; Efé 6:10-18; Heb 4:12; 1Ped 2:15; Apoc 2:16; 12:11</v>
      </c>
      <c r="T35" s="23" t="str">
        <f>TEXT(FixWed!$A35,"d")</f>
        <v>22</v>
      </c>
      <c r="U35" s="16" t="str">
        <f>TransEngToLangA(TEXT(FixWed!$A35,"mmm"))</f>
        <v>Jul</v>
      </c>
      <c r="V35" s="22" t="str">
        <f t="shared" si="5"/>
        <v>Jul</v>
      </c>
      <c r="W35" s="1"/>
      <c r="X35" s="11" t="str">
        <f>CONCATENATE("\WedChapter{",PrepareLatexText(T35),"}{",PrepareLatexText(V35),"}{",PrepareLatexText(R35),"}{",PrepareLatexText(FixWed!E35),"}{", PrepareLatexText(P35),"}{",PrepareLatexText(Q35),"}")</f>
        <v>\WedChapter{\nf{22}}{Jul}{\nf{0}}{\nf{0}}{As\ armas\ da\ nossa\ luta}{Weapons\ of\ our\ warfare}</v>
      </c>
      <c r="Y35" s="11" t="str">
        <f t="shared" si="1"/>
        <v>\WedTopic{\nf{22}}{Jul}{As\ armas\ da\ nossa\ luta}{Weapons\ of\ our\ warfare}{\nf{1}Sa~\nf{17}:\nf{45};\ Mat~\nf{4}:\nf{4};\ \nf{26}:\nf{52};\ \nf{2}Cor~\nf{10}:\nf{4};\ Ef\'e~\nf{6}:\nf{10}\nobreakrefrange \nf{18};\ Heb~\nf{4}:\nf{12};\ \nf{1}Ped~\nf{2}:\nf{15};\ Apoc~\nf{2}:\nf{16};\ \nf{12}:\nf{11}}</v>
      </c>
      <c r="Z35" s="11" t="str">
        <f>(IF(0=FixWed!D35,IF(ISBLANK(FixWed!B35),"",Y35),X35))</f>
        <v>\WedTopic{\nf{22}}{Jul}{As\ armas\ da\ nossa\ luta}{Weapons\ of\ our\ warfare}{\nf{1}Sa~\nf{17}:\nf{45};\ Mat~\nf{4}:\nf{4};\ \nf{26}:\nf{52};\ \nf{2}Cor~\nf{10}:\nf{4};\ Ef\'e~\nf{6}:\nf{10}\nobreakrefrange \nf{18};\ Heb~\nf{4}:\nf{12};\ \nf{1}Ped~\nf{2}:\nf{15};\ Apoc~\nf{2}:\nf{16};\ \nf{12}:\nf{11}}</v>
      </c>
      <c r="AA35" s="1"/>
      <c r="AB35" s="1"/>
    </row>
    <row r="36" spans="2:38" ht="30" customHeight="1" thickBot="1">
      <c r="B36" s="32" t="str">
        <f>V36</f>
        <v>Jul</v>
      </c>
      <c r="C36" s="44" t="str">
        <f>T36</f>
        <v>29</v>
      </c>
      <c r="D36" s="69" t="s">
        <v>701</v>
      </c>
      <c r="E36" s="69">
        <v>6</v>
      </c>
      <c r="F36" s="70" t="s">
        <v>1033</v>
      </c>
      <c r="G36" s="2"/>
      <c r="H36" s="2" t="s">
        <v>37</v>
      </c>
      <c r="I36" s="6"/>
      <c r="O36" s="122" t="str">
        <f>TransEngToBookLangA(FixWed!D36)</f>
        <v>Ezequiel</v>
      </c>
      <c r="P36" s="26" t="str">
        <f>IF(AND((LangANo()="2"),NOT(ISBLANK(FixWed!B36))), FixWed!B36,TRIM(LookupTransA(LookupId(2,FixWed!B36))))</f>
        <v>A glória do Senhor</v>
      </c>
      <c r="Q36" s="26" t="str">
        <f>TRIM(LookupTransB(LookupId(2,FixWed!B36)))</f>
        <v>The glory of the Lord</v>
      </c>
      <c r="R36" s="17" t="str">
        <f t="shared" si="4"/>
        <v>Ezequiel</v>
      </c>
      <c r="S36" s="40" t="str">
        <f>TranslateRefs(FixWed!C36)</f>
        <v>0</v>
      </c>
      <c r="T36" s="23" t="str">
        <f>TEXT(FixWed!$A36,"d")</f>
        <v>29</v>
      </c>
      <c r="U36" s="16" t="str">
        <f>TransEngToLangA(TEXT(FixWed!$A36,"mmm"))</f>
        <v>Jul</v>
      </c>
      <c r="V36" s="22" t="str">
        <f t="shared" si="5"/>
        <v>Jul</v>
      </c>
      <c r="X36" s="11" t="str">
        <f>CONCATENATE("\WedChapter{",PrepareLatexText(T36),"}{",PrepareLatexText(V36),"}{",PrepareLatexText(R36),"}{",PrepareLatexText(FixWed!E36),"}{", PrepareLatexText(P36),"}{",PrepareLatexText(Q36),"}")</f>
        <v>\WedChapter{\nf{29}}{Jul}{Ezequiel}{\nf{1}}{A\ gl\'oria\ do\ Senhor}{The\ glory\ of\ the\ Lord}</v>
      </c>
      <c r="Y36" s="11" t="str">
        <f t="shared" ref="Y36:Y60" si="6">CONCATENATE("\WedTopic{",PrepareLatexText(T36),"}{",PrepareLatexText(V36),"}{",PrepareBoldLatexText(P36),"}{",PrepareBoldLatexText(Q36),"}{",ReferenceLatexText(S36),"}")</f>
        <v>\WedTopic{\nf{29}}{Jul}{A\ gl\'oria\ do\ Senhor}{The\ glory\ of\ the\ Lord}{\nf{0}}</v>
      </c>
      <c r="Z36" s="11" t="str">
        <f>(IF(0=FixWed!D36,IF(ISBLANK(FixWed!B36),"",Y36),X36))</f>
        <v>\WedChapter{\nf{29}}{Jul}{Ezequiel}{\nf{1}}{A\ gl\'oria\ do\ Senhor}{The\ glory\ of\ the\ Lord}</v>
      </c>
      <c r="AC36" s="15"/>
      <c r="AD36" s="15"/>
      <c r="AE36" s="15"/>
      <c r="AF36" s="15"/>
      <c r="AG36" s="15"/>
      <c r="AH36" s="15"/>
      <c r="AI36" s="15"/>
      <c r="AJ36" s="15"/>
      <c r="AK36" s="15"/>
      <c r="AL36" s="15"/>
    </row>
    <row r="37" spans="2:38" ht="30" customHeight="1" thickBot="1">
      <c r="B37" s="32" t="str">
        <f>V37</f>
        <v>Ago</v>
      </c>
      <c r="C37" s="44" t="str">
        <f>T37</f>
        <v>5</v>
      </c>
      <c r="D37" s="99" t="s">
        <v>701</v>
      </c>
      <c r="E37" s="181">
        <v>7</v>
      </c>
      <c r="F37" s="182" t="s">
        <v>1034</v>
      </c>
      <c r="G37" s="2"/>
      <c r="H37" s="2" t="s">
        <v>37</v>
      </c>
      <c r="O37" s="122" t="str">
        <f>TransEngToBookLangA(FixWed!D37)</f>
        <v>Ezequiel</v>
      </c>
      <c r="P37" s="26" t="str">
        <f>IF(AND((LangANo()="2"),NOT(ISBLANK(FixWed!B37))), FixWed!B37,TRIM(LookupTransA(LookupId(2,FixWed!B37))))</f>
        <v>Sendo resolutos para fazer a vontade de Deus</v>
      </c>
      <c r="Q37" s="26" t="str">
        <f>TRIM(LookupTransB(LookupId(2,FixWed!B37)))</f>
        <v>Setting one's face to do God's will</v>
      </c>
      <c r="R37" s="17" t="str">
        <f t="shared" si="4"/>
        <v>Ezekiel</v>
      </c>
      <c r="S37" s="40" t="str">
        <f>TranslateRefs(FixWed!C37)</f>
        <v>0</v>
      </c>
      <c r="T37" s="23" t="str">
        <f>TEXT(FixWed!$A37,"d")</f>
        <v>5</v>
      </c>
      <c r="U37" s="16" t="str">
        <f>TransEngToLangA(TEXT(FixWed!$A37,"mmm"))</f>
        <v>Ago</v>
      </c>
      <c r="V37" s="22" t="str">
        <f t="shared" si="5"/>
        <v>Ago</v>
      </c>
      <c r="X37" s="11" t="str">
        <f>CONCATENATE("\WedChapter{",PrepareLatexText(T37),"}{",PrepareLatexText(V37),"}{",PrepareLatexText(R37),"}{",PrepareLatexText(FixWed!E37),"}{", PrepareLatexText(P37),"}{",PrepareLatexText(Q37),"}")</f>
        <v>\WedChapter{\nf{5}}{Ago}{Ezekiel}{\nf{2}}{Sendo\ resolutos\ para\ fazer\ a\ vontade\ de\ Deus}{Setting\ one's\ face\ to\ do\ God's\ will}</v>
      </c>
      <c r="Y37" s="11" t="str">
        <f t="shared" si="6"/>
        <v>\WedTopic{\nf{5}}{Ago}{Sendo\ resolutos\ para\ fazer\ a\ vontade\ de\ Deus}{Setting\ one's\ face\ to\ do\ God's\ will}{\nf{0}}</v>
      </c>
      <c r="Z37" s="11" t="str">
        <f>(IF(0=FixWed!D37,IF(ISBLANK(FixWed!B37),"",Y37),X37))</f>
        <v>\WedChapter{\nf{5}}{Ago}{Ezekiel}{\nf{2}}{Sendo\ resolutos\ para\ fazer\ a\ vontade\ de\ Deus}{Setting\ one's\ face\ to\ do\ God's\ will}</v>
      </c>
      <c r="AC37" s="15"/>
      <c r="AD37" s="15"/>
      <c r="AE37" s="15"/>
      <c r="AF37" s="15"/>
      <c r="AG37" s="15"/>
      <c r="AH37" s="15"/>
      <c r="AI37" s="15"/>
      <c r="AJ37" s="15"/>
      <c r="AK37" s="15"/>
      <c r="AL37" s="15"/>
    </row>
    <row r="38" spans="2:38" ht="39" customHeight="1" thickBot="1">
      <c r="B38" s="32" t="str">
        <f t="shared" ref="B38:B58" si="7">V38</f>
        <v>Aug</v>
      </c>
      <c r="C38" s="44" t="str">
        <f t="shared" ref="C38:C58" si="8">T38</f>
        <v>12</v>
      </c>
      <c r="D38" s="274" t="s">
        <v>1073</v>
      </c>
      <c r="E38" s="275"/>
      <c r="F38" s="276"/>
      <c r="G38" s="2"/>
      <c r="H38" s="2" t="s">
        <v>37</v>
      </c>
      <c r="O38" s="122" t="str">
        <f>TransEngToBookLangA(FixWed!D38)</f>
        <v>0</v>
      </c>
      <c r="P38" s="26" t="str">
        <f>IF(AND((LangANo()="2"),NOT(ISBLANK(FixWed!B38))), FixWed!B38,TRIM(LookupTransA(LookupId(2,FixWed!B38))))</f>
        <v>Tenha um ouvido atento</v>
      </c>
      <c r="Q38" s="26" t="str">
        <f>TRIM(LookupTransB(LookupId(2,FixWed!B38)))</f>
        <v>Having a listening ear</v>
      </c>
      <c r="R38" s="17" t="str">
        <f t="shared" si="4"/>
        <v>0</v>
      </c>
      <c r="S38" s="40" t="str">
        <f>TranslateRefs(FixWed!C38)</f>
        <v>Gén 22:3,10-13; 1Rs 19:11-13; Isa 50:4,5; Mat 13:9, 15-17; Mar 4:24; Luc 8:18</v>
      </c>
      <c r="T38" s="23" t="str">
        <f>TEXT(FixWed!$A38,"d")</f>
        <v>12</v>
      </c>
      <c r="U38" s="16" t="str">
        <f>TransEngToLangA(TEXT(FixWed!$A38,"mmm"))</f>
        <v>Ago</v>
      </c>
      <c r="V38" s="22" t="str">
        <f t="shared" si="5"/>
        <v>Aug</v>
      </c>
      <c r="X38" s="11" t="str">
        <f>CONCATENATE("\WedChapter{",PrepareLatexText(T38),"}{",PrepareLatexText(V38),"}{",PrepareLatexText(R38),"}{",PrepareLatexText(FixWed!E38),"}{", PrepareLatexText(P38),"}{",PrepareLatexText(Q38),"}")</f>
        <v>\WedChapter{\nf{12}}{Aug}{\nf{0}}{\nf{0}}{Tenha\ um\ ouvido\ atento}{Having\ a\ listening\ ear}</v>
      </c>
      <c r="Y38" s="11" t="str">
        <f t="shared" si="6"/>
        <v>\WedTopic{\nf{12}}{Aug}{Tenha\ um\ ouvido\ atento}{Having\ a\ listening\ ear}{G\'en~\nf{22}:\nf{3},\nf{10}\nobreakrefrange \nf{13};\ \nf{1}Rs~\nf{19}:\nf{11}\nobreakrefrange \nf{13};\ Isa~\nf{50}:\nf{4},\nf{5};\ Mat~\nf{13}:\nf{9},~\nf{15}\nobreakrefrange \nf{17};\ Mar~\nf{4}:\nf{24};\ Luc~\nf{8}:\nf{18}}</v>
      </c>
      <c r="Z38" s="11" t="str">
        <f>(IF(0=FixWed!D38,IF(ISBLANK(FixWed!B38),"",Y38),X38))</f>
        <v>\WedTopic{\nf{12}}{Aug}{Tenha\ um\ ouvido\ atento}{Having\ a\ listening\ ear}{G\'en~\nf{22}:\nf{3},\nf{10}\nobreakrefrange \nf{13};\ \nf{1}Rs~\nf{19}:\nf{11}\nobreakrefrange \nf{13};\ Isa~\nf{50}:\nf{4},\nf{5};\ Mat~\nf{13}:\nf{9},~\nf{15}\nobreakrefrange \nf{17};\ Mar~\nf{4}:\nf{24};\ Luc~\nf{8}:\nf{18}}</v>
      </c>
      <c r="AC38" s="15"/>
      <c r="AD38" s="15"/>
      <c r="AE38" s="15"/>
      <c r="AF38" s="15"/>
      <c r="AG38" s="15"/>
      <c r="AH38" s="15"/>
      <c r="AI38" s="15"/>
      <c r="AJ38" s="15"/>
      <c r="AK38" s="15"/>
      <c r="AL38" s="15"/>
    </row>
    <row r="39" spans="2:38" s="15" customFormat="1" ht="19.5" customHeight="1" thickBot="1">
      <c r="B39" s="32" t="str">
        <f t="shared" si="7"/>
        <v>Ago</v>
      </c>
      <c r="C39" s="44" t="str">
        <f t="shared" si="8"/>
        <v>19</v>
      </c>
      <c r="D39" s="54" t="s">
        <v>701</v>
      </c>
      <c r="E39" s="54">
        <v>8</v>
      </c>
      <c r="F39" s="50" t="s">
        <v>1035</v>
      </c>
      <c r="G39" s="2"/>
      <c r="H39" s="11" t="s">
        <v>38</v>
      </c>
      <c r="I39" s="11"/>
      <c r="O39" s="122" t="str">
        <f>TransEngToBookLangA(FixWed!D39)</f>
        <v>Ezequiel</v>
      </c>
      <c r="P39" s="26" t="str">
        <f>IF(AND((LangANo()="2"),NOT(ISBLANK(FixWed!B39))), FixWed!B39,TRIM(LookupTransA(LookupId(2,FixWed!B39))))</f>
        <v>A verdade traz convicção e a cura</v>
      </c>
      <c r="Q39" s="26" t="str">
        <f>TRIM(LookupTransB(LookupId(2,FixWed!B39)))</f>
        <v>Truth brings conviction &amp; healing</v>
      </c>
      <c r="R39" s="17" t="str">
        <f t="shared" si="4"/>
        <v>Ezequiel</v>
      </c>
      <c r="S39" s="40" t="str">
        <f>TranslateRefs(FixWed!C39)</f>
        <v>0</v>
      </c>
      <c r="T39" s="23" t="str">
        <f>TEXT(FixWed!$A39,"d")</f>
        <v>19</v>
      </c>
      <c r="U39" s="16" t="str">
        <f>TransEngToLangA(TEXT(FixWed!$A39,"mmm"))</f>
        <v>Ago</v>
      </c>
      <c r="V39" s="22" t="str">
        <f t="shared" si="5"/>
        <v>Ago</v>
      </c>
      <c r="W39" s="1"/>
      <c r="X39" s="11" t="str">
        <f>CONCATENATE("\WedChapter{",PrepareLatexText(T39),"}{",PrepareLatexText(V39),"}{",PrepareLatexText(R39),"}{",PrepareLatexText(FixWed!E39),"}{", PrepareLatexText(P39),"}{",PrepareLatexText(Q39),"}")</f>
        <v>\WedChapter{\nf{19}}{Ago}{Ezequiel}{\nf{3}}{A\ verdade\ traz\ convic\c{c}\~ao\ e\ a\ cura}{Truth\ brings\ conviction\ \&amp;\ healing}</v>
      </c>
      <c r="Y39" s="11" t="str">
        <f t="shared" si="6"/>
        <v>\WedTopic{\nf{19}}{Ago}{A\ verdade\ traz\ convic\c{c}\~ao\ e\ a\ cura}{Truth\ brings\ conviction\ \&amp;\ healing}{\nf{0}}</v>
      </c>
      <c r="Z39" s="11" t="str">
        <f>(IF(0=FixWed!D39,IF(ISBLANK(FixWed!B39),"",Y39),X39))</f>
        <v>\WedChapter{\nf{19}}{Ago}{Ezequiel}{\nf{3}}{A\ verdade\ traz\ convic\c{c}\~ao\ e\ a\ cura}{Truth\ brings\ conviction\ \&amp;\ healing}</v>
      </c>
      <c r="AA39" s="1"/>
      <c r="AB39" s="1"/>
    </row>
    <row r="40" spans="2:38" ht="16.5" customHeight="1" thickBot="1">
      <c r="B40" s="32" t="str">
        <f t="shared" si="7"/>
        <v>Aug</v>
      </c>
      <c r="C40" s="44" t="str">
        <f t="shared" si="8"/>
        <v>26</v>
      </c>
      <c r="D40" s="47" t="s">
        <v>701</v>
      </c>
      <c r="E40" s="47" t="s">
        <v>1007</v>
      </c>
      <c r="F40" s="50" t="s">
        <v>1036</v>
      </c>
      <c r="G40" s="2"/>
      <c r="H40" s="2" t="s">
        <v>37</v>
      </c>
      <c r="I40" s="6"/>
      <c r="O40" s="122" t="str">
        <f>TransEngToBookLangA(FixWed!D40)</f>
        <v>Salmos</v>
      </c>
      <c r="P40" s="26" t="str">
        <f>IF(AND((LangANo()="2"),NOT(ISBLANK(FixWed!B40))), FixWed!B40,TRIM(LookupTransA(LookupId(2,FixWed!B40))))</f>
        <v>Seja vigilante mesmo depois da vitória</v>
      </c>
      <c r="Q40" s="26" t="str">
        <f>TRIM(LookupTransB(LookupId(2,FixWed!B40)))</f>
        <v>Be watchful even after victory</v>
      </c>
      <c r="R40" s="17" t="str">
        <f t="shared" si="4"/>
        <v>Salmos</v>
      </c>
      <c r="S40" s="40" t="str">
        <f>TranslateRefs(FixWed!C40)</f>
        <v>0</v>
      </c>
      <c r="T40" s="23" t="str">
        <f>TEXT(FixWed!$A40,"d")</f>
        <v>26</v>
      </c>
      <c r="U40" s="16" t="str">
        <f>TransEngToLangA(TEXT(FixWed!$A40,"mmm"))</f>
        <v>Ago</v>
      </c>
      <c r="V40" s="22" t="str">
        <f t="shared" si="5"/>
        <v>Aug</v>
      </c>
      <c r="X40" s="11" t="str">
        <f>CONCATENATE("\WedChapter{",PrepareLatexText(T40),"}{",PrepareLatexText(V40),"}{",PrepareLatexText(R40),"}{",PrepareLatexText(FixWed!E40),"}{", PrepareLatexText(P40),"}{",PrepareLatexText(Q40),"}")</f>
        <v>\WedChapter{\nf{26}}{Aug}{Salmos}{\nf{20}\ \&amp;\ \nf{21}}{Seja\ vigilante\ mesmo\ depois\ da\ vit\'oria}{Be\ watchful\ even\ after\ victory}</v>
      </c>
      <c r="Y40" s="11" t="str">
        <f t="shared" si="6"/>
        <v>\WedTopic{\nf{26}}{Aug}{Seja\ vigilante\ mesmo\ depois\ da\ vit\'oria}{Be\ watchful\ even\ after\ victory}{\nf{0}}</v>
      </c>
      <c r="Z40" s="11" t="str">
        <f>(IF(0=FixWed!D40,IF(ISBLANK(FixWed!B40),"",Y40),X40))</f>
        <v>\WedChapter{\nf{26}}{Aug}{Salmos}{\nf{20}\ \&amp;\ \nf{21}}{Seja\ vigilante\ mesmo\ depois\ da\ vit\'oria}{Be\ watchful\ even\ after\ victory}</v>
      </c>
      <c r="AC40" s="15"/>
      <c r="AD40" s="15"/>
      <c r="AE40" s="15"/>
      <c r="AF40" s="15"/>
      <c r="AG40" s="15"/>
      <c r="AH40" s="15"/>
      <c r="AI40" s="15"/>
      <c r="AJ40" s="15"/>
      <c r="AK40" s="15"/>
      <c r="AL40" s="15"/>
    </row>
    <row r="41" spans="2:38" ht="30.5" thickBot="1">
      <c r="B41" s="32" t="str">
        <f t="shared" si="7"/>
        <v>Sept</v>
      </c>
      <c r="C41" s="44" t="str">
        <f t="shared" si="8"/>
        <v>2</v>
      </c>
      <c r="D41" s="47" t="s">
        <v>701</v>
      </c>
      <c r="E41" s="47" t="s">
        <v>1008</v>
      </c>
      <c r="F41" s="50" t="s">
        <v>1037</v>
      </c>
      <c r="G41" s="2"/>
      <c r="H41" s="11" t="s">
        <v>38</v>
      </c>
      <c r="O41" s="122" t="str">
        <f>TransEngToBookLangA(FixWed!D41)</f>
        <v>Salmos</v>
      </c>
      <c r="P41" s="26" t="str">
        <f>IF(AND((LangANo()="2"),NOT(ISBLANK(FixWed!B41))), FixWed!B41,TRIM(LookupTransA(LookupId(2,FixWed!B41))))</f>
        <v>O bom pastor morre pelas ovelhas</v>
      </c>
      <c r="Q41" s="26" t="str">
        <f>TRIM(LookupTransB(LookupId(2,FixWed!B41)))</f>
        <v>Good Shepherd dies for his sheep</v>
      </c>
      <c r="R41" s="17" t="str">
        <f t="shared" si="4"/>
        <v>Psalms</v>
      </c>
      <c r="S41" s="40" t="str">
        <f>TranslateRefs(FixWed!C41)</f>
        <v>0</v>
      </c>
      <c r="T41" s="23" t="str">
        <f>TEXT(FixWed!$A41,"d")</f>
        <v>2</v>
      </c>
      <c r="U41" s="16" t="str">
        <f>TransEngToLangA(TEXT(FixWed!$A41,"mmm"))</f>
        <v>Sept</v>
      </c>
      <c r="V41" s="22" t="str">
        <f t="shared" si="5"/>
        <v>Sept</v>
      </c>
      <c r="X41" s="11" t="str">
        <f>CONCATENATE("\WedChapter{",PrepareLatexText(T41),"}{",PrepareLatexText(V41),"}{",PrepareLatexText(R41),"}{",PrepareLatexText(FixWed!E41),"}{", PrepareLatexText(P41),"}{",PrepareLatexText(Q41),"}")</f>
        <v>\WedChapter{\nf{2}}{Sept}{Psalms}{\nf{22}}{O\ bom\ pastor\ morre\ pelas\ ovelhas}{Good\ Shepherd\ dies\ for\ his\ sheep}</v>
      </c>
      <c r="Y41" s="11" t="str">
        <f t="shared" si="6"/>
        <v>\WedTopic{\nf{2}}{Sept}{O\ bom\ pastor\ morre\ pelas\ ovelhas}{Good\ Shepherd\ dies\ for\ his\ sheep}{\nf{0}}</v>
      </c>
      <c r="Z41" s="11" t="str">
        <f>(IF(0=FixWed!D41,IF(ISBLANK(FixWed!B41),"",Y41),X41))</f>
        <v>\WedChapter{\nf{2}}{Sept}{Psalms}{\nf{22}}{O\ bom\ pastor\ morre\ pelas\ ovelhas}{Good\ Shepherd\ dies\ for\ his\ sheep}</v>
      </c>
      <c r="AC41" s="15"/>
      <c r="AD41" s="15"/>
      <c r="AE41" s="15"/>
      <c r="AF41" s="15"/>
      <c r="AG41" s="15"/>
      <c r="AH41" s="15"/>
      <c r="AI41" s="15"/>
      <c r="AJ41" s="15"/>
      <c r="AK41" s="15"/>
      <c r="AL41" s="15"/>
    </row>
    <row r="42" spans="2:38" ht="30.5" thickBot="1">
      <c r="B42" s="32" t="str">
        <f t="shared" si="7"/>
        <v>Sept</v>
      </c>
      <c r="C42" s="44" t="str">
        <f t="shared" si="8"/>
        <v>9</v>
      </c>
      <c r="D42" s="58" t="s">
        <v>701</v>
      </c>
      <c r="E42" s="56" t="s">
        <v>1010</v>
      </c>
      <c r="F42" s="50" t="s">
        <v>1038</v>
      </c>
      <c r="G42" s="2"/>
      <c r="H42" s="11" t="s">
        <v>38</v>
      </c>
      <c r="O42" s="122" t="str">
        <f>TransEngToBookLangA(FixWed!D42)</f>
        <v>Salmos</v>
      </c>
      <c r="P42" s="26" t="str">
        <f>IF(AND((LangANo()="2"),NOT(ISBLANK(FixWed!B42))), FixWed!B42,TRIM(LookupTransA(LookupId(2,FixWed!B42))))</f>
        <v>O grande pastor cuida das ovelhas</v>
      </c>
      <c r="Q42" s="26" t="str">
        <f>TRIM(LookupTransB(LookupId(2,FixWed!B42)))</f>
        <v>Great Shepherd cares for the sheep</v>
      </c>
      <c r="R42" s="17" t="str">
        <f t="shared" si="4"/>
        <v>Salmos</v>
      </c>
      <c r="S42" s="40" t="str">
        <f>TranslateRefs(FixWed!C42)</f>
        <v>0</v>
      </c>
      <c r="T42" s="23" t="str">
        <f>TEXT(FixWed!$A42,"d")</f>
        <v>9</v>
      </c>
      <c r="U42" s="16" t="str">
        <f>TransEngToLangA(TEXT(FixWed!$A42,"mmm"))</f>
        <v>Sept</v>
      </c>
      <c r="V42" s="22" t="str">
        <f t="shared" si="5"/>
        <v>Sept</v>
      </c>
      <c r="X42" s="11" t="str">
        <f>CONCATENATE("\WedChapter{",PrepareLatexText(T42),"}{",PrepareLatexText(V42),"}{",PrepareLatexText(R42),"}{",PrepareLatexText(FixWed!E42),"}{", PrepareLatexText(P42),"}{",PrepareLatexText(Q42),"}")</f>
        <v>\WedChapter{\nf{9}}{Sept}{Salmos}{\nf{23}}{O\ grande\ pastor\ cuida\ das\ ovelhas}{Great\ Shepherd\ cares\ for\ the\ sheep}</v>
      </c>
      <c r="Y42" s="11" t="str">
        <f t="shared" si="6"/>
        <v>\WedTopic{\nf{9}}{Sept}{O\ grande\ pastor\ cuida\ das\ ovelhas}{Great\ Shepherd\ cares\ for\ the\ sheep}{\nf{0}}</v>
      </c>
      <c r="Z42" s="11" t="str">
        <f>(IF(0=FixWed!D42,IF(ISBLANK(FixWed!B42),"",Y42),X42))</f>
        <v>\WedChapter{\nf{9}}{Sept}{Salmos}{\nf{23}}{O\ grande\ pastor\ cuida\ das\ ovelhas}{Great\ Shepherd\ cares\ for\ the\ sheep}</v>
      </c>
      <c r="AC42" s="15"/>
      <c r="AD42" s="15"/>
      <c r="AE42" s="15"/>
      <c r="AF42" s="15"/>
      <c r="AG42" s="15"/>
      <c r="AH42" s="15"/>
      <c r="AI42" s="15"/>
      <c r="AJ42" s="15"/>
      <c r="AK42" s="15"/>
      <c r="AL42" s="15"/>
    </row>
    <row r="43" spans="2:38" s="15" customFormat="1" thickBot="1">
      <c r="B43" s="32" t="str">
        <f t="shared" si="7"/>
        <v>Sept</v>
      </c>
      <c r="C43" s="44" t="str">
        <f t="shared" si="8"/>
        <v>16</v>
      </c>
      <c r="D43" s="52" t="s">
        <v>701</v>
      </c>
      <c r="E43" s="54" t="s">
        <v>1011</v>
      </c>
      <c r="F43" s="50" t="s">
        <v>1039</v>
      </c>
      <c r="G43" s="2"/>
      <c r="H43" s="11" t="s">
        <v>38</v>
      </c>
      <c r="I43" s="11"/>
      <c r="O43" s="122" t="str">
        <f>TransEngToBookLangA(FixWed!D43)</f>
        <v>Salmos</v>
      </c>
      <c r="P43" s="26" t="str">
        <f>IF(AND((LangANo()="2"),NOT(ISBLANK(FixWed!B43))), FixWed!B43,TRIM(LookupTransA(LookupId(2,FixWed!B43))))</f>
        <v>O sumo pastor vem em glória</v>
      </c>
      <c r="Q43" s="26" t="str">
        <f>TRIM(LookupTransB(LookupId(2,FixWed!B43)))</f>
        <v>Chief Shepherd comes in glory</v>
      </c>
      <c r="R43" s="17" t="str">
        <f t="shared" si="4"/>
        <v>Psalms</v>
      </c>
      <c r="S43" s="40" t="str">
        <f>TranslateRefs(FixWed!C43)</f>
        <v>0</v>
      </c>
      <c r="T43" s="23" t="str">
        <f>TEXT(FixWed!$A43,"d")</f>
        <v>16</v>
      </c>
      <c r="U43" s="16" t="str">
        <f>TransEngToLangA(TEXT(FixWed!$A43,"mmm"))</f>
        <v>Sept</v>
      </c>
      <c r="V43" s="22" t="str">
        <f t="shared" si="5"/>
        <v>Sept</v>
      </c>
      <c r="W43" s="1"/>
      <c r="X43" s="11" t="str">
        <f>CONCATENATE("\WedChapter{",PrepareLatexText(T43),"}{",PrepareLatexText(V43),"}{",PrepareLatexText(R43),"}{",PrepareLatexText(FixWed!E43),"}{", PrepareLatexText(P43),"}{",PrepareLatexText(Q43),"}")</f>
        <v>\WedChapter{\nf{16}}{Sept}{Psalms}{\nf{24}}{O\ sumo\ pastor\ vem\ em\ gl\'oria}{Chief\ Shepherd\ comes\ in\ glory}</v>
      </c>
      <c r="Y43" s="11" t="str">
        <f t="shared" si="6"/>
        <v>\WedTopic{\nf{16}}{Sept}{O\ sumo\ pastor\ vem\ em\ gl\'oria}{Chief\ Shepherd\ comes\ in\ glory}{\nf{0}}</v>
      </c>
      <c r="Z43" s="11" t="str">
        <f>(IF(0=FixWed!D43,IF(ISBLANK(FixWed!B43),"",Y43),X43))</f>
        <v>\WedChapter{\nf{16}}{Sept}{Psalms}{\nf{24}}{O\ sumo\ pastor\ vem\ em\ gl\'oria}{Chief\ Shepherd\ comes\ in\ glory}</v>
      </c>
      <c r="AA43" s="1"/>
      <c r="AB43" s="1"/>
    </row>
    <row r="44" spans="2:38" ht="16" thickBot="1">
      <c r="B44" s="32" t="str">
        <f t="shared" si="7"/>
        <v>Sept</v>
      </c>
      <c r="C44" s="44" t="str">
        <f t="shared" si="8"/>
        <v>23</v>
      </c>
      <c r="D44" s="47" t="s">
        <v>701</v>
      </c>
      <c r="E44" s="47" t="s">
        <v>987</v>
      </c>
      <c r="F44" s="53" t="s">
        <v>1040</v>
      </c>
      <c r="G44" s="2"/>
      <c r="H44" s="11" t="s">
        <v>38</v>
      </c>
      <c r="O44" s="122" t="str">
        <f>TransEngToBookLangA(FixWed!D44)</f>
        <v>Salmos</v>
      </c>
      <c r="P44" s="26" t="str">
        <f>IF(AND((LangANo()="2"),NOT(ISBLANK(FixWed!B44))), FixWed!B44,TRIM(LookupTransA(LookupId(2,FixWed!B44))))</f>
        <v>Aqueles que Deus ama guiar</v>
      </c>
      <c r="Q44" s="26" t="str">
        <f>TRIM(LookupTransB(LookupId(2,FixWed!B44)))</f>
        <v>People the Lord loves to guide</v>
      </c>
      <c r="R44" s="17" t="str">
        <f t="shared" si="4"/>
        <v>Salmos</v>
      </c>
      <c r="S44" s="40" t="str">
        <f>TranslateRefs(FixWed!C44)</f>
        <v>0</v>
      </c>
      <c r="T44" s="23" t="str">
        <f>TEXT(FixWed!$A44,"d")</f>
        <v>23</v>
      </c>
      <c r="U44" s="16" t="str">
        <f>TransEngToLangA(TEXT(FixWed!$A44,"mmm"))</f>
        <v>Sept</v>
      </c>
      <c r="V44" s="22" t="str">
        <f t="shared" si="5"/>
        <v>Sept</v>
      </c>
      <c r="X44" s="11" t="str">
        <f>CONCATENATE("\WedChapter{",PrepareLatexText(T44),"}{",PrepareLatexText(V44),"}{",PrepareLatexText(R44),"}{",PrepareLatexText(FixWed!E44),"}{", PrepareLatexText(P44),"}{",PrepareLatexText(Q44),"}")</f>
        <v>\WedChapter{\nf{23}}{Sept}{Salmos}{\nf{25}}{Aqueles\ que\ Deus\ ama\ guiar}{People\ the\ Lord\ loves\ to\ guide}</v>
      </c>
      <c r="Y44" s="11" t="str">
        <f t="shared" si="6"/>
        <v>\WedTopic{\nf{23}}{Sept}{Aqueles\ que\ Deus\ ama\ guiar}{People\ the\ Lord\ loves\ to\ guide}{\nf{0}}</v>
      </c>
      <c r="Z44" s="11" t="str">
        <f>(IF(0=FixWed!D44,IF(ISBLANK(FixWed!B44),"",Y44),X44))</f>
        <v>\WedChapter{\nf{23}}{Sept}{Salmos}{\nf{25}}{Aqueles\ que\ Deus\ ama\ guiar}{People\ the\ Lord\ loves\ to\ guide}</v>
      </c>
      <c r="AC44" s="15"/>
      <c r="AD44" s="15"/>
      <c r="AE44" s="15"/>
      <c r="AF44" s="15"/>
      <c r="AG44" s="15"/>
      <c r="AH44" s="15"/>
      <c r="AI44" s="15"/>
      <c r="AJ44" s="15"/>
      <c r="AK44" s="15"/>
      <c r="AL44" s="15"/>
    </row>
    <row r="45" spans="2:38" ht="30" customHeight="1" thickBot="1">
      <c r="B45" s="32" t="str">
        <f t="shared" si="7"/>
        <v>Sept</v>
      </c>
      <c r="C45" s="44" t="str">
        <f t="shared" si="8"/>
        <v>30</v>
      </c>
      <c r="D45" s="55" t="s">
        <v>701</v>
      </c>
      <c r="E45" s="175">
        <v>23</v>
      </c>
      <c r="F45" s="171" t="s">
        <v>1041</v>
      </c>
      <c r="G45" s="2"/>
      <c r="H45" s="2" t="s">
        <v>37</v>
      </c>
      <c r="I45" s="6"/>
      <c r="O45" s="122" t="str">
        <f>TransEngToBookLangA(FixWed!D45)</f>
        <v>Salmos</v>
      </c>
      <c r="P45" s="26" t="str">
        <f>IF(AND((LangANo()="2"),NOT(ISBLANK(FixWed!B45))), FixWed!B45,TRIM(LookupTransA(LookupId(2,FixWed!B45))))</f>
        <v>Suportando calúnia maliciosa</v>
      </c>
      <c r="Q45" s="26" t="str">
        <f>TRIM(LookupTransB(LookupId(2,FixWed!B45)))</f>
        <v>Handling malicious slander</v>
      </c>
      <c r="R45" s="17" t="str">
        <f t="shared" si="4"/>
        <v>Psalms</v>
      </c>
      <c r="S45" s="40" t="str">
        <f>TranslateRefs(FixWed!C45)</f>
        <v>0</v>
      </c>
      <c r="T45" s="23" t="str">
        <f>TEXT(FixWed!$A45,"d")</f>
        <v>30</v>
      </c>
      <c r="U45" s="16" t="str">
        <f>TransEngToLangA(TEXT(FixWed!$A45,"mmm"))</f>
        <v>Sept</v>
      </c>
      <c r="V45" s="22" t="str">
        <f t="shared" si="5"/>
        <v>Sept</v>
      </c>
      <c r="X45" s="11" t="str">
        <f>CONCATENATE("\WedChapter{",PrepareLatexText(T45),"}{",PrepareLatexText(V45),"}{",PrepareLatexText(R45),"}{",PrepareLatexText(FixWed!E45),"}{", PrepareLatexText(P45),"}{",PrepareLatexText(Q45),"}")</f>
        <v>\WedChapter{\nf{30}}{Sept}{Psalms}{\nf{26}}{Suportando\ cal\'unia\ maliciosa}{Handling\ malicious\ slander}</v>
      </c>
      <c r="Y45" s="11" t="str">
        <f t="shared" si="6"/>
        <v>\WedTopic{\nf{30}}{Sept}{Suportando\ cal\'unia\ maliciosa}{Handling\ malicious\ slander}{\nf{0}}</v>
      </c>
      <c r="Z45" s="11" t="str">
        <f>(IF(0=FixWed!D45,IF(ISBLANK(FixWed!B45),"",Y45),X45))</f>
        <v>\WedChapter{\nf{30}}{Sept}{Psalms}{\nf{26}}{Suportando\ cal\'unia\ maliciosa}{Handling\ malicious\ slander}</v>
      </c>
      <c r="AC45" s="15"/>
      <c r="AD45" s="15"/>
      <c r="AE45" s="15"/>
      <c r="AF45" s="15"/>
      <c r="AG45" s="15"/>
      <c r="AH45" s="15"/>
      <c r="AI45" s="15"/>
      <c r="AJ45" s="15"/>
      <c r="AK45" s="15"/>
      <c r="AL45" s="15"/>
    </row>
    <row r="46" spans="2:38" s="15" customFormat="1" ht="30.5" thickBot="1">
      <c r="B46" s="32" t="str">
        <f t="shared" si="7"/>
        <v>Out</v>
      </c>
      <c r="C46" s="44" t="str">
        <f t="shared" si="8"/>
        <v>7</v>
      </c>
      <c r="D46" s="98" t="s">
        <v>701</v>
      </c>
      <c r="E46" s="98" t="s">
        <v>696</v>
      </c>
      <c r="F46" s="96" t="s">
        <v>1042</v>
      </c>
      <c r="G46" s="2"/>
      <c r="H46" s="2" t="s">
        <v>37</v>
      </c>
      <c r="I46" s="11"/>
      <c r="O46" s="122" t="str">
        <f>TransEngToBookLangA(FixWed!D46)</f>
        <v>Ezequiel</v>
      </c>
      <c r="P46" s="26" t="str">
        <f>IF(AND((LangANo()="2"),NOT(ISBLANK(FixWed!B46))), FixWed!B46,TRIM(LookupTransA(LookupId(2,FixWed!B46))))</f>
        <v>Expressar amor por Deus pela obediência</v>
      </c>
      <c r="Q46" s="26" t="str">
        <f>TRIM(LookupTransB(LookupId(2,FixWed!B46)))</f>
        <v>Love for God expressed in obedience</v>
      </c>
      <c r="R46" s="17" t="str">
        <f t="shared" si="4"/>
        <v>Ezequiel</v>
      </c>
      <c r="S46" s="40" t="str">
        <f>TranslateRefs(FixWed!C46)</f>
        <v>0</v>
      </c>
      <c r="T46" s="23" t="str">
        <f>TEXT(FixWed!$A46,"d")</f>
        <v>7</v>
      </c>
      <c r="U46" s="16" t="str">
        <f>TransEngToLangA(TEXT(FixWed!$A46,"mmm"))</f>
        <v>Out</v>
      </c>
      <c r="V46" s="22" t="str">
        <f t="shared" si="5"/>
        <v>Out</v>
      </c>
      <c r="W46" s="1"/>
      <c r="X46" s="11" t="str">
        <f>CONCATENATE("\WedChapter{",PrepareLatexText(T46),"}{",PrepareLatexText(V46),"}{",PrepareLatexText(R46),"}{",PrepareLatexText(FixWed!E46),"}{", PrepareLatexText(P46),"}{",PrepareLatexText(Q46),"}")</f>
        <v>\WedChapter{\nf{7}}{Out}{Ezequiel}{\nf{33}}{Expressar\ amor\ por\ Deus\ pela\ obedi\^encia}{Love\ for\ God\ expressed\ in\ obedience}</v>
      </c>
      <c r="Y46" s="11" t="str">
        <f t="shared" si="6"/>
        <v>\WedTopic{\nf{7}}{Out}{Expressar\ amor\ por\ Deus\ pela\ obedi\^encia}{Love\ for\ God\ expressed\ in\ obedience}{\nf{0}}</v>
      </c>
      <c r="Z46" s="11" t="str">
        <f>(IF(0=FixWed!D46,IF(ISBLANK(FixWed!B46),"",Y46),X46))</f>
        <v>\WedChapter{\nf{7}}{Out}{Ezequiel}{\nf{33}}{Expressar\ amor\ por\ Deus\ pela\ obedi\^encia}{Love\ for\ God\ expressed\ in\ obedience}</v>
      </c>
      <c r="AA46" s="1"/>
      <c r="AB46" s="1"/>
    </row>
    <row r="47" spans="2:38" s="15" customFormat="1" ht="37.5" customHeight="1" thickBot="1">
      <c r="B47" s="32" t="str">
        <f t="shared" si="7"/>
        <v>Oct</v>
      </c>
      <c r="C47" s="44" t="str">
        <f t="shared" si="8"/>
        <v>14</v>
      </c>
      <c r="D47" s="277" t="s">
        <v>1074</v>
      </c>
      <c r="E47" s="275"/>
      <c r="F47" s="276"/>
      <c r="G47" s="2"/>
      <c r="H47" s="2" t="s">
        <v>37</v>
      </c>
      <c r="I47" s="11"/>
      <c r="O47" s="122" t="str">
        <f>TransEngToBookLangA(FixWed!D47)</f>
        <v>0</v>
      </c>
      <c r="P47" s="26" t="str">
        <f>IF(AND((LangANo()="2"),NOT(ISBLANK(FixWed!B47))), FixWed!B47,TRIM(LookupTransA(LookupId(2,FixWed!B47))))</f>
        <v>A mais alta vocação</v>
      </c>
      <c r="Q47" s="26" t="str">
        <f>TRIM(LookupTransB(LookupId(2,FixWed!B47)))</f>
        <v>Highest calling</v>
      </c>
      <c r="R47" s="17" t="str">
        <f t="shared" si="4"/>
        <v>0</v>
      </c>
      <c r="S47" s="40" t="str">
        <f>TranslateRefs(FixWed!C47)</f>
        <v>1Rs 19:19-21; Isa 6:8; Jer 1:4-10; Mar 6:7; Rom 1:1,7; 1Cor 1:26-30; Apoc 17:14</v>
      </c>
      <c r="T47" s="23" t="str">
        <f>TEXT(FixWed!$A47,"d")</f>
        <v>14</v>
      </c>
      <c r="U47" s="16" t="str">
        <f>TransEngToLangA(TEXT(FixWed!$A47,"mmm"))</f>
        <v>Out</v>
      </c>
      <c r="V47" s="22" t="str">
        <f t="shared" si="5"/>
        <v>Oct</v>
      </c>
      <c r="W47" s="1"/>
      <c r="X47" s="11" t="str">
        <f>CONCATENATE("\WedChapter{",PrepareLatexText(T47),"}{",PrepareLatexText(V47),"}{",PrepareLatexText(R47),"}{",PrepareLatexText(FixWed!E47),"}{", PrepareLatexText(P47),"}{",PrepareLatexText(Q47),"}")</f>
        <v>\WedChapter{\nf{14}}{Oct}{\nf{0}}{\nf{0}}{A\ mais\ alta\ voca\c{c}\~ao}{Highest\ calling}</v>
      </c>
      <c r="Y47" s="11" t="str">
        <f t="shared" si="6"/>
        <v>\WedTopic{\nf{14}}{Oct}{A\ mais\ alta\ voca\c{c}\~ao}{Highest\ calling}{\nf{1}Rs~\nf{19}:\nf{19}\nobreakrefrange \nf{21};\ Isa~\nf{6}:\nf{8};\ Jer~\nf{1}:\nf{4}\nobreakrefrange \nf{10};\ Mar~\nf{6}:\nf{7};\ Rom~\nf{1}:\nf{1},\nf{7};\ \nf{1}Cor~\nf{1}:\nf{26}\nobreakrefrange \nf{30};\ Apoc~\nf{17}:\nf{14}}</v>
      </c>
      <c r="Z47" s="11" t="str">
        <f>(IF(0=FixWed!D47,IF(ISBLANK(FixWed!B47),"",Y47),X47))</f>
        <v>\WedTopic{\nf{14}}{Oct}{A\ mais\ alta\ voca\c{c}\~ao}{Highest\ calling}{\nf{1}Rs~\nf{19}:\nf{19}\nobreakrefrange \nf{21};\ Isa~\nf{6}:\nf{8};\ Jer~\nf{1}:\nf{4}\nobreakrefrange \nf{10};\ Mar~\nf{6}:\nf{7};\ Rom~\nf{1}:\nf{1},\nf{7};\ \nf{1}Cor~\nf{1}:\nf{26}\nobreakrefrange \nf{30};\ Apoc~\nf{17}:\nf{14}}</v>
      </c>
      <c r="AA47" s="1"/>
      <c r="AB47" s="1"/>
    </row>
    <row r="48" spans="2:38" s="15" customFormat="1" ht="37.5" customHeight="1" thickBot="1">
      <c r="B48" s="32" t="str">
        <f t="shared" si="7"/>
        <v>Out</v>
      </c>
      <c r="C48" s="44" t="str">
        <f t="shared" si="8"/>
        <v>21</v>
      </c>
      <c r="D48" s="52" t="s">
        <v>710</v>
      </c>
      <c r="E48" s="177">
        <v>1</v>
      </c>
      <c r="F48" s="171" t="s">
        <v>1075</v>
      </c>
      <c r="G48" s="2"/>
      <c r="H48" s="11" t="s">
        <v>38</v>
      </c>
      <c r="I48" s="11"/>
      <c r="O48" s="122" t="str">
        <f>TransEngToBookLangA(FixWed!D48)</f>
        <v>Ezequiel</v>
      </c>
      <c r="P48" s="26" t="str">
        <f>IF(AND((LangANo()="2"),NOT(ISBLANK(FixWed!B48))), FixWed!B48,TRIM(LookupTransA(LookupId(2,FixWed!B48))))</f>
        <v>O pastor concede todas as nossas necessidades</v>
      </c>
      <c r="Q48" s="26" t="str">
        <f>TRIM(LookupTransB(LookupId(2,FixWed!B48)))</f>
        <v>All needs met in our Shepherd</v>
      </c>
      <c r="R48" s="17" t="str">
        <f t="shared" si="4"/>
        <v>Ezequiel</v>
      </c>
      <c r="S48" s="40" t="str">
        <f>TranslateRefs(FixWed!C48)</f>
        <v>0</v>
      </c>
      <c r="T48" s="23" t="str">
        <f>TEXT(FixWed!$A48,"d")</f>
        <v>21</v>
      </c>
      <c r="U48" s="16" t="str">
        <f>TransEngToLangA(TEXT(FixWed!$A48,"mmm"))</f>
        <v>Out</v>
      </c>
      <c r="V48" s="22" t="str">
        <f t="shared" si="5"/>
        <v>Out</v>
      </c>
      <c r="W48" s="1"/>
      <c r="X48" s="11" t="str">
        <f>CONCATENATE("\WedChapter{",PrepareLatexText(T48),"}{",PrepareLatexText(V48),"}{",PrepareLatexText(R48),"}{",PrepareLatexText(FixWed!E48),"}{", PrepareLatexText(P48),"}{",PrepareLatexText(Q48),"}")</f>
        <v>\WedChapter{\nf{21}}{Out}{Ezequiel}{\nf{34}}{O\ pastor\ concede\ todas\ as\ nossas\ necessidades}{All\ needs\ met\ in\ our\ Shepherd}</v>
      </c>
      <c r="Y48" s="11" t="str">
        <f t="shared" si="6"/>
        <v>\WedTopic{\nf{21}}{Out}{O\ pastor\ concede\ todas\ as\ nossas\ necessidades}{All\ needs\ met\ in\ our\ Shepherd}{\nf{0}}</v>
      </c>
      <c r="Z48" s="11" t="str">
        <f>(IF(0=FixWed!D48,IF(ISBLANK(FixWed!B48),"",Y48),X48))</f>
        <v>\WedChapter{\nf{21}}{Out}{Ezequiel}{\nf{34}}{O\ pastor\ concede\ todas\ as\ nossas\ necessidades}{All\ needs\ met\ in\ our\ Shepherd}</v>
      </c>
      <c r="AA48" s="1"/>
      <c r="AB48" s="1"/>
    </row>
    <row r="49" spans="2:38" ht="30" customHeight="1" thickBot="1">
      <c r="B49" s="32" t="str">
        <f t="shared" si="7"/>
        <v>Oct</v>
      </c>
      <c r="C49" s="44" t="str">
        <f t="shared" si="8"/>
        <v>28</v>
      </c>
      <c r="D49" s="154" t="s">
        <v>710</v>
      </c>
      <c r="E49" s="94">
        <v>2</v>
      </c>
      <c r="F49" s="96" t="s">
        <v>1043</v>
      </c>
      <c r="G49" s="2"/>
      <c r="H49" s="2" t="s">
        <v>37</v>
      </c>
      <c r="I49" s="6"/>
      <c r="O49" s="122" t="str">
        <f>TransEngToBookLangA(FixWed!D49)</f>
        <v>Ezequiel</v>
      </c>
      <c r="P49" s="26" t="str">
        <f>IF(AND((LangANo()="2"),NOT(ISBLANK(FixWed!B49))), FixWed!B49,TRIM(LookupTransA(LookupId(2,FixWed!B49))))</f>
        <v>Deus resiste os soberbos</v>
      </c>
      <c r="Q49" s="26" t="str">
        <f>TRIM(LookupTransB(LookupId(2,FixWed!B49)))</f>
        <v>God still resists the proud</v>
      </c>
      <c r="R49" s="17" t="str">
        <f t="shared" si="4"/>
        <v>Ezekiel</v>
      </c>
      <c r="S49" s="40" t="str">
        <f>TranslateRefs(FixWed!C49)</f>
        <v>0</v>
      </c>
      <c r="T49" s="23" t="str">
        <f>TEXT(FixWed!$A49,"d")</f>
        <v>28</v>
      </c>
      <c r="U49" s="16" t="str">
        <f>TransEngToLangA(TEXT(FixWed!$A49,"mmm"))</f>
        <v>Out</v>
      </c>
      <c r="V49" s="22" t="str">
        <f t="shared" si="5"/>
        <v>Oct</v>
      </c>
      <c r="X49" s="11" t="str">
        <f>CONCATENATE("\WedChapter{",PrepareLatexText(T49),"}{",PrepareLatexText(V49),"}{",PrepareLatexText(R49),"}{",PrepareLatexText(FixWed!E49),"}{", PrepareLatexText(P49),"}{",PrepareLatexText(Q49),"}")</f>
        <v>\WedChapter{\nf{28}}{Oct}{Ezekiel}{\nf{35}}{Deus\ resiste\ os\ soberbos}{God\ still\ resists\ the\ proud}</v>
      </c>
      <c r="Y49" s="11" t="str">
        <f t="shared" si="6"/>
        <v>\WedTopic{\nf{28}}{Oct}{Deus\ resiste\ os\ soberbos}{God\ still\ resists\ the\ proud}{\nf{0}}</v>
      </c>
      <c r="Z49" s="11" t="str">
        <f>(IF(0=FixWed!D49,IF(ISBLANK(FixWed!B49),"",Y49),X49))</f>
        <v>\WedChapter{\nf{28}}{Oct}{Ezekiel}{\nf{35}}{Deus\ resiste\ os\ soberbos}{God\ still\ resists\ the\ proud}</v>
      </c>
      <c r="AC49" s="15"/>
      <c r="AD49" s="15"/>
      <c r="AE49" s="15"/>
      <c r="AF49" s="15"/>
      <c r="AG49" s="15"/>
      <c r="AH49" s="15"/>
      <c r="AI49" s="15"/>
      <c r="AJ49" s="15"/>
      <c r="AK49" s="15"/>
      <c r="AL49" s="15"/>
    </row>
    <row r="50" spans="2:38" ht="30.5" thickBot="1">
      <c r="B50" s="32" t="str">
        <f t="shared" si="7"/>
        <v>Nov</v>
      </c>
      <c r="C50" s="44" t="str">
        <f t="shared" si="8"/>
        <v>4</v>
      </c>
      <c r="D50" s="278" t="s">
        <v>1076</v>
      </c>
      <c r="E50" s="272"/>
      <c r="F50" s="273"/>
      <c r="G50" s="2"/>
      <c r="H50" s="11" t="s">
        <v>38</v>
      </c>
      <c r="O50" s="122" t="str">
        <f>TransEngToBookLangA(FixWed!D50)</f>
        <v>0</v>
      </c>
      <c r="P50" s="26" t="str">
        <f>IF(AND((LangANo()="2"),NOT(ISBLANK(FixWed!B50))), FixWed!B50,TRIM(LookupTransA(LookupId(2,FixWed!B50))))</f>
        <v>Decepções planejadas por Deus</v>
      </c>
      <c r="Q50" s="26" t="str">
        <f>TRIM(LookupTransB(LookupId(2,FixWed!B50)))</f>
        <v>Our disappointment, often God's appointment</v>
      </c>
      <c r="R50" s="17" t="str">
        <f t="shared" si="4"/>
        <v>0</v>
      </c>
      <c r="S50" s="40" t="str">
        <f>TranslateRefs(FixWed!C50)</f>
        <v>Gén 17:18-19; 48:8-20; Ato 16:6-10, 23-34; 2Cor 12:7-10; Heb 11:17-19,39-40</v>
      </c>
      <c r="T50" s="23" t="str">
        <f>TEXT(FixWed!$A50,"d")</f>
        <v>4</v>
      </c>
      <c r="U50" s="16" t="str">
        <f>TransEngToLangA(TEXT(FixWed!$A50,"mmm"))</f>
        <v>Nov</v>
      </c>
      <c r="V50" s="22" t="str">
        <f t="shared" si="5"/>
        <v>Nov</v>
      </c>
      <c r="X50" s="11" t="str">
        <f>CONCATENATE("\WedChapter{",PrepareLatexText(T50),"}{",PrepareLatexText(V50),"}{",PrepareLatexText(R50),"}{",PrepareLatexText(FixWed!E50),"}{", PrepareLatexText(P50),"}{",PrepareLatexText(Q50),"}")</f>
        <v>\WedChapter{\nf{4}}{Nov}{\nf{0}}{\nf{0}}{Decep\c{c}\~oes\ planejadas\ por\ Deus}{Our\ disappointment,\ often\ God's\ appointment}</v>
      </c>
      <c r="Y50" s="11" t="str">
        <f t="shared" si="6"/>
        <v>\WedTopic{\nf{4}}{Nov}{Decep\c{c}\~oes\ planejadas\ por\ Deus}{Our\ disappointment,\ often\ God's\ appointment}{G\'en~\nf{17}:\nf{18}\nobreakrefrange \nf{19};\ \nf{48}:\nf{8}\nobreakrefrange \nf{20};\ Ato~\nf{16}:\nf{6}\nobreakrefrange \nf{10},~\nf{23}\nobreakrefrange \nf{34};\ \nf{2}Cor~\nf{12}:\nf{7}\nobreakrefrange \nf{10};\ Heb~\nf{11}:\nf{17}\nobreakrefrange \nf{19},\nf{39}\nobreakrefrange \nf{40}}</v>
      </c>
      <c r="Z50" s="11" t="str">
        <f>(IF(0=FixWed!D50,IF(ISBLANK(FixWed!B50),"",Y50),X50))</f>
        <v>\WedTopic{\nf{4}}{Nov}{Decep\c{c}\~oes\ planejadas\ por\ Deus}{Our\ disappointment,\ often\ God's\ appointment}{G\'en~\nf{17}:\nf{18}\nobreakrefrange \nf{19};\ \nf{48}:\nf{8}\nobreakrefrange \nf{20};\ Ato~\nf{16}:\nf{6}\nobreakrefrange \nf{10},~\nf{23}\nobreakrefrange \nf{34};\ \nf{2}Cor~\nf{12}:\nf{7}\nobreakrefrange \nf{10};\ Heb~\nf{11}:\nf{17}\nobreakrefrange \nf{19},\nf{39}\nobreakrefrange \nf{40}}</v>
      </c>
      <c r="AC50" s="15"/>
      <c r="AD50" s="15"/>
      <c r="AE50" s="15"/>
      <c r="AF50" s="15"/>
      <c r="AG50" s="15"/>
      <c r="AH50" s="15"/>
      <c r="AI50" s="15"/>
      <c r="AJ50" s="15"/>
      <c r="AK50" s="15"/>
      <c r="AL50" s="15"/>
    </row>
    <row r="51" spans="2:38" ht="16.25" customHeight="1" thickBot="1">
      <c r="B51" s="32" t="str">
        <f t="shared" si="7"/>
        <v>Nov</v>
      </c>
      <c r="C51" s="44" t="str">
        <f t="shared" si="8"/>
        <v>11</v>
      </c>
      <c r="D51" s="58" t="s">
        <v>710</v>
      </c>
      <c r="E51" s="56">
        <v>3</v>
      </c>
      <c r="F51" s="50" t="s">
        <v>1044</v>
      </c>
      <c r="G51" s="2"/>
      <c r="H51" s="11" t="s">
        <v>38</v>
      </c>
      <c r="O51" s="122" t="str">
        <f>TransEngToBookLangA(FixWed!D51)</f>
        <v>Ezequiel</v>
      </c>
      <c r="P51" s="26" t="str">
        <f>IF(AND((LangANo()="2"),NOT(ISBLANK(FixWed!B51))), FixWed!B51,TRIM(LookupTransA(LookupId(2,FixWed!B51))))</f>
        <v>Indo da desolação ao deleite</v>
      </c>
      <c r="Q51" s="26" t="str">
        <f>TRIM(LookupTransB(LookupId(2,FixWed!B51)))</f>
        <v>From desolation to delight</v>
      </c>
      <c r="R51" s="17" t="str">
        <f t="shared" si="4"/>
        <v>Ezequiel</v>
      </c>
      <c r="S51" s="40" t="str">
        <f>TranslateRefs(FixWed!C51)</f>
        <v>0</v>
      </c>
      <c r="T51" s="23" t="str">
        <f>TEXT(FixWed!$A51,"d")</f>
        <v>11</v>
      </c>
      <c r="U51" s="16" t="str">
        <f>TransEngToLangA(TEXT(FixWed!$A51,"mmm"))</f>
        <v>Nov</v>
      </c>
      <c r="V51" s="22" t="str">
        <f t="shared" si="5"/>
        <v>Nov</v>
      </c>
      <c r="X51" s="11" t="str">
        <f>CONCATENATE("\WedChapter{",PrepareLatexText(T51),"}{",PrepareLatexText(V51),"}{",PrepareLatexText(R51),"}{",PrepareLatexText(FixWed!E51),"}{", PrepareLatexText(P51),"}{",PrepareLatexText(Q51),"}")</f>
        <v>\WedChapter{\nf{11}}{Nov}{Ezequiel}{\nf{36}}{Indo\ da\ desola\c{c}\~ao\ ao\ deleite}{From\ desolation\ to\ delight}</v>
      </c>
      <c r="Y51" s="11" t="str">
        <f t="shared" si="6"/>
        <v>\WedTopic{\nf{11}}{Nov}{Indo\ da\ desola\c{c}\~ao\ ao\ deleite}{From\ desolation\ to\ delight}{\nf{0}}</v>
      </c>
      <c r="Z51" s="11" t="str">
        <f>(IF(0=FixWed!D51,IF(ISBLANK(FixWed!B51),"",Y51),X51))</f>
        <v>\WedChapter{\nf{11}}{Nov}{Ezequiel}{\nf{36}}{Indo\ da\ desola\c{c}\~ao\ ao\ deleite}{From\ desolation\ to\ delight}</v>
      </c>
      <c r="AC51" s="15"/>
      <c r="AD51" s="15"/>
      <c r="AE51" s="15"/>
      <c r="AF51" s="15"/>
      <c r="AG51" s="15"/>
      <c r="AH51" s="15"/>
      <c r="AI51" s="15"/>
      <c r="AJ51" s="15"/>
      <c r="AK51" s="15"/>
      <c r="AL51" s="15"/>
    </row>
    <row r="52" spans="2:38" s="15" customFormat="1" ht="22.5" customHeight="1" thickBot="1">
      <c r="B52" s="32" t="str">
        <f t="shared" si="7"/>
        <v>Nov</v>
      </c>
      <c r="C52" s="44" t="str">
        <f t="shared" si="8"/>
        <v>18</v>
      </c>
      <c r="D52" s="98" t="s">
        <v>710</v>
      </c>
      <c r="E52" s="98" t="s">
        <v>596</v>
      </c>
      <c r="F52" s="96" t="s">
        <v>1077</v>
      </c>
      <c r="G52" s="2"/>
      <c r="H52" s="11" t="s">
        <v>38</v>
      </c>
      <c r="I52" s="11"/>
      <c r="O52" s="122" t="str">
        <f>TransEngToBookLangA(FixWed!D52)</f>
        <v>Ezequiel</v>
      </c>
      <c r="P52" s="26" t="str">
        <f>IF(AND((LangANo()="2"),NOT(ISBLANK(FixWed!B52))), FixWed!B52,TRIM(LookupTransA(LookupId(2,FixWed!B52))))</f>
        <v>O poder vivificante da palavra e do Espírito</v>
      </c>
      <c r="Q52" s="26" t="str">
        <f>TRIM(LookupTransB(LookupId(2,FixWed!B52)))</f>
        <v>Life-giving power of the Word and Spirit</v>
      </c>
      <c r="R52" s="17" t="str">
        <f t="shared" si="4"/>
        <v>Ezekiel</v>
      </c>
      <c r="S52" s="40" t="str">
        <f>TranslateRefs(FixWed!C52)</f>
        <v>0</v>
      </c>
      <c r="T52" s="23" t="str">
        <f>TEXT(FixWed!$A52,"d")</f>
        <v>18</v>
      </c>
      <c r="U52" s="16" t="str">
        <f>TransEngToLangA(TEXT(FixWed!$A52,"mmm"))</f>
        <v>Nov</v>
      </c>
      <c r="V52" s="22" t="str">
        <f t="shared" si="5"/>
        <v>Nov</v>
      </c>
      <c r="W52" s="1"/>
      <c r="X52" s="11" t="str">
        <f>CONCATENATE("\WedChapter{",PrepareLatexText(T52),"}{",PrepareLatexText(V52),"}{",PrepareLatexText(R52),"}{",PrepareLatexText(FixWed!E52),"}{", PrepareLatexText(P52),"}{",PrepareLatexText(Q52),"}")</f>
        <v>\WedChapter{\nf{18}}{Nov}{Ezekiel}{\nf{37}}{O\ poder\ vivificante\ da\ palavra\ e\ do\ Esp\'irito}{Life\textendash giving\ power\ of\ the\ Word\ and\ Spirit}</v>
      </c>
      <c r="Y52" s="11" t="str">
        <f t="shared" si="6"/>
        <v>\WedTopic{\nf{18}}{Nov}{O\ poder\ vivificante\ da\ palavra\ e\ do\ Esp\'irito}{Life\textendash giving\ power\ of\ the\ Word\ and\ Spirit}{\nf{0}}</v>
      </c>
      <c r="Z52" s="11" t="str">
        <f>(IF(0=FixWed!D52,IF(ISBLANK(FixWed!B52),"",Y52),X52))</f>
        <v>\WedChapter{\nf{18}}{Nov}{Ezekiel}{\nf{37}}{O\ poder\ vivificante\ da\ palavra\ e\ do\ Esp\'irito}{Life\textendash giving\ power\ of\ the\ Word\ and\ Spirit}</v>
      </c>
      <c r="AA52" s="1"/>
      <c r="AB52" s="1"/>
    </row>
    <row r="53" spans="2:38" s="15" customFormat="1" thickBot="1">
      <c r="B53" s="32" t="str">
        <f t="shared" si="7"/>
        <v>Nov</v>
      </c>
      <c r="C53" s="44" t="str">
        <f t="shared" si="8"/>
        <v>25</v>
      </c>
      <c r="D53" s="277" t="s">
        <v>1078</v>
      </c>
      <c r="E53" s="275"/>
      <c r="F53" s="276"/>
      <c r="G53" s="2"/>
      <c r="H53" s="11" t="s">
        <v>38</v>
      </c>
      <c r="I53" s="11"/>
      <c r="O53" s="122" t="str">
        <f>TransEngToBookLangA(FixWed!D53)</f>
        <v>0</v>
      </c>
      <c r="P53" s="26" t="str">
        <f>IF(AND((LangANo()="2"),NOT(ISBLANK(FixWed!B53))), FixWed!B53,TRIM(LookupTransA(LookupId(2,FixWed!B53))))</f>
        <v>Redimindo o tempo</v>
      </c>
      <c r="Q53" s="26" t="str">
        <f>TRIM(LookupTransB(LookupId(2,FixWed!B53)))</f>
        <v>Redeeming Time</v>
      </c>
      <c r="R53" s="17" t="str">
        <f t="shared" si="4"/>
        <v>0</v>
      </c>
      <c r="S53" s="40" t="str">
        <f>TranslateRefs(FixWed!C53)</f>
        <v>Sal 39:4-6; 90:9-12; 95:7-9; Ecl 9:10;  Isa 55:6; Rom 13:11; 2Cor 6:2; Efé 5:15-16</v>
      </c>
      <c r="T53" s="23" t="str">
        <f>TEXT(FixWed!$A53,"d")</f>
        <v>25</v>
      </c>
      <c r="U53" s="16" t="str">
        <f>TransEngToLangA(TEXT(FixWed!$A53,"mmm"))</f>
        <v>Nov</v>
      </c>
      <c r="V53" s="22" t="str">
        <f t="shared" si="5"/>
        <v>Nov</v>
      </c>
      <c r="W53" s="1"/>
      <c r="X53" s="11" t="str">
        <f>CONCATENATE("\WedChapter{",PrepareLatexText(T53),"}{",PrepareLatexText(V53),"}{",PrepareLatexText(R53),"}{",PrepareLatexText(FixWed!E53),"}{", PrepareLatexText(P53),"}{",PrepareLatexText(Q53),"}")</f>
        <v>\WedChapter{\nf{25}}{Nov}{\nf{0}}{\nf{0}}{Redimindo\ o\ tempo}{Redeeming\ Time}</v>
      </c>
      <c r="Y53" s="11" t="str">
        <f t="shared" si="6"/>
        <v>\WedTopic{\nf{25}}{Nov}{Redimindo\ o\ tempo}{Redeeming\ Time}{Sal~\nf{39}:\nf{4}\nobreakrefrange \nf{6};\ \nf{90}:\nf{9}\nobreakrefrange \nf{12};\ \nf{95}:\nf{7}\nobreakrefrange \nf{9};\ Ecl~\nf{9}:\nf{10};\ ~Isa~\nf{55}:\nf{6};\ Rom~\nf{13}:\nf{11};\ \nf{2}Cor~\nf{6}:\nf{2};\ Ef\'e~\nf{5}:\nf{15}\nobreakrefrange \nf{16}}</v>
      </c>
      <c r="Z53" s="11" t="str">
        <f>(IF(0=FixWed!D53,IF(ISBLANK(FixWed!B53),"",Y53),X53))</f>
        <v>\WedTopic{\nf{25}}{Nov}{Redimindo\ o\ tempo}{Redeeming\ Time}{Sal~\nf{39}:\nf{4}\nobreakrefrange \nf{6};\ \nf{90}:\nf{9}\nobreakrefrange \nf{12};\ \nf{95}:\nf{7}\nobreakrefrange \nf{9};\ Ecl~\nf{9}:\nf{10};\ ~Isa~\nf{55}:\nf{6};\ Rom~\nf{13}:\nf{11};\ \nf{2}Cor~\nf{6}:\nf{2};\ Ef\'e~\nf{5}:\nf{15}\nobreakrefrange \nf{16}}</v>
      </c>
      <c r="AA53" s="1"/>
      <c r="AB53" s="1"/>
    </row>
    <row r="54" spans="2:38" s="15" customFormat="1" ht="30.5" thickBot="1">
      <c r="B54" s="32" t="str">
        <f t="shared" si="7"/>
        <v>Des</v>
      </c>
      <c r="C54" s="44" t="str">
        <f t="shared" si="8"/>
        <v>2</v>
      </c>
      <c r="D54" s="47" t="s">
        <v>710</v>
      </c>
      <c r="E54" s="47" t="s">
        <v>597</v>
      </c>
      <c r="F54" s="50" t="s">
        <v>1079</v>
      </c>
      <c r="G54" s="2"/>
      <c r="H54" s="11" t="s">
        <v>38</v>
      </c>
      <c r="I54" s="11"/>
      <c r="O54" s="122" t="str">
        <f>TransEngToBookLangA(FixWed!D54)</f>
        <v>Ezequiel</v>
      </c>
      <c r="P54" s="26" t="str">
        <f>IF(AND((LangANo()="2"),NOT(ISBLANK(FixWed!B54))), FixWed!B54,TRIM(LookupTransA(LookupId(2,FixWed!B54))))</f>
        <v>Todo inimigo vencido, todo pecado perdoado</v>
      </c>
      <c r="Q54" s="26" t="str">
        <f>TRIM(LookupTransB(LookupId(2,FixWed!B54)))</f>
        <v>Every enemy defeated; every sin forgiven</v>
      </c>
      <c r="R54" s="17" t="str">
        <f t="shared" si="4"/>
        <v>Ezequiel</v>
      </c>
      <c r="S54" s="40" t="str">
        <f>TranslateRefs(FixWed!C54)</f>
        <v>0</v>
      </c>
      <c r="T54" s="23" t="str">
        <f>TEXT(FixWed!$A54,"d")</f>
        <v>2</v>
      </c>
      <c r="U54" s="16" t="str">
        <f>TransEngToLangA(TEXT(FixWed!$A54,"mmm"))</f>
        <v>Des</v>
      </c>
      <c r="V54" s="22" t="str">
        <f t="shared" si="5"/>
        <v>Des</v>
      </c>
      <c r="W54" s="1"/>
      <c r="X54" s="11" t="str">
        <f>CONCATENATE("\WedChapter{",PrepareLatexText(T54),"}{",PrepareLatexText(V54),"}{",PrepareLatexText(R54),"}{",PrepareLatexText(FixWed!E54),"}{", PrepareLatexText(P54),"}{",PrepareLatexText(Q54),"}")</f>
        <v>\WedChapter{\nf{2}}{Des}{Ezequiel}{\nf{38}\ \textendash \ \nf{39}}{Todo\ inimigo\ vencido,\ todo\ pecado\ perdoado}{Every\ enemy\ defeated;\ every\ sin\ forgiven}</v>
      </c>
      <c r="Y54" s="11" t="str">
        <f t="shared" si="6"/>
        <v>\WedTopic{\nf{2}}{Des}{Todo\ inimigo\ vencido,\ todo\ pecado\ perdoado}{Every\ enemy\ defeated;\ every\ sin\ forgiven}{\nf{0}}</v>
      </c>
      <c r="Z54" s="11" t="str">
        <f>(IF(0=FixWed!D54,IF(ISBLANK(FixWed!B54),"",Y54),X54))</f>
        <v>\WedChapter{\nf{2}}{Des}{Ezequiel}{\nf{38}\ \textendash \ \nf{39}}{Todo\ inimigo\ vencido,\ todo\ pecado\ perdoado}{Every\ enemy\ defeated;\ every\ sin\ forgiven}</v>
      </c>
      <c r="AA54" s="1"/>
      <c r="AB54" s="1"/>
    </row>
    <row r="55" spans="2:38" ht="30.5" thickBot="1">
      <c r="B55" s="32" t="str">
        <f t="shared" si="7"/>
        <v>Dec</v>
      </c>
      <c r="C55" s="44" t="str">
        <f t="shared" si="8"/>
        <v>9</v>
      </c>
      <c r="D55" s="47" t="s">
        <v>15</v>
      </c>
      <c r="E55" s="47" t="s">
        <v>986</v>
      </c>
      <c r="F55" s="50" t="s">
        <v>1045</v>
      </c>
      <c r="G55" s="2"/>
      <c r="H55" s="2" t="s">
        <v>37</v>
      </c>
      <c r="O55" s="122" t="str">
        <f>TransEngToBookLangA(FixWed!D55)</f>
        <v>Ezequiel</v>
      </c>
      <c r="P55" s="26" t="str">
        <f>IF(AND((LangANo()="2"),NOT(ISBLANK(FixWed!B55))), FixWed!B55,TRIM(LookupTransA(LookupId(2,FixWed!B55))))</f>
        <v>A água da vida flui progressivamente mais fundo</v>
      </c>
      <c r="Q55" s="26" t="str">
        <f>TRIM(LookupTransB(LookupId(2,FixWed!B55)))</f>
        <v>Water of Life flows progressively deeper</v>
      </c>
      <c r="R55" s="17" t="str">
        <f t="shared" si="4"/>
        <v>Ezekiel</v>
      </c>
      <c r="S55" s="40" t="str">
        <f>TranslateRefs(FixWed!C55)</f>
        <v>0</v>
      </c>
      <c r="T55" s="23" t="str">
        <f>TEXT(FixWed!$A55,"d")</f>
        <v>9</v>
      </c>
      <c r="U55" s="16" t="str">
        <f>TransEngToLangA(TEXT(FixWed!$A55,"mmm"))</f>
        <v>Des</v>
      </c>
      <c r="V55" s="22" t="str">
        <f t="shared" si="5"/>
        <v>Dec</v>
      </c>
      <c r="X55" s="11" t="str">
        <f>CONCATENATE("\WedChapter{",PrepareLatexText(T55),"}{",PrepareLatexText(V55),"}{",PrepareLatexText(R55),"}{",PrepareLatexText(FixWed!E55),"}{", PrepareLatexText(P55),"}{",PrepareLatexText(Q55),"}")</f>
        <v>\WedChapter{\nf{9}}{Dec}{Ezekiel}{\nf{47}}{A\ \'agua\ da\ vida\ flui\ progressivamente\ mais\ fundo}{Water\ of\ Life\ flows\ progressively\ deeper}</v>
      </c>
      <c r="Y55" s="11" t="str">
        <f t="shared" si="6"/>
        <v>\WedTopic{\nf{9}}{Dec}{A\ \'agua\ da\ vida\ flui\ progressivamente\ mais\ fundo}{Water\ of\ Life\ flows\ progressively\ deeper}{\nf{0}}</v>
      </c>
      <c r="Z55" s="11" t="str">
        <f>(IF(0=FixWed!D55,IF(ISBLANK(FixWed!B55),"",Y55),X55))</f>
        <v>\WedChapter{\nf{9}}{Dec}{Ezekiel}{\nf{47}}{A\ \'agua\ da\ vida\ flui\ progressivamente\ mais\ fundo}{Water\ of\ Life\ flows\ progressively\ deeper}</v>
      </c>
      <c r="AC55" s="15"/>
      <c r="AD55" s="15"/>
      <c r="AE55" s="15"/>
      <c r="AF55" s="15"/>
      <c r="AG55" s="15"/>
      <c r="AH55" s="15"/>
      <c r="AI55" s="15"/>
      <c r="AJ55" s="15"/>
      <c r="AK55" s="15"/>
      <c r="AL55" s="15"/>
    </row>
    <row r="56" spans="2:38" ht="28.5" customHeight="1" thickBot="1">
      <c r="B56" s="32" t="str">
        <f t="shared" si="7"/>
        <v>Des</v>
      </c>
      <c r="C56" s="44" t="str">
        <f t="shared" si="8"/>
        <v>16</v>
      </c>
      <c r="D56" s="47" t="s">
        <v>15</v>
      </c>
      <c r="E56" s="47" t="s">
        <v>1013</v>
      </c>
      <c r="F56" s="50" t="s">
        <v>1046</v>
      </c>
      <c r="G56" s="2"/>
      <c r="H56" s="2" t="s">
        <v>37</v>
      </c>
      <c r="O56" s="122" t="str">
        <f>TransEngToBookLangA(FixWed!D56)</f>
        <v>Salmos</v>
      </c>
      <c r="P56" s="26" t="str">
        <f>IF(AND((LangANo()="2"),NOT(ISBLANK(FixWed!B56))), FixWed!B56,TRIM(LookupTransA(LookupId(2,FixWed!B56))))</f>
        <v>Deus é maior do que circunstâncias e o inimigo</v>
      </c>
      <c r="Q56" s="26" t="str">
        <f>TRIM(LookupTransB(LookupId(2,FixWed!B56)))</f>
        <v>God is greater than circumstances &amp; foes</v>
      </c>
      <c r="R56" s="17" t="str">
        <f t="shared" si="4"/>
        <v>Salmos</v>
      </c>
      <c r="S56" s="40" t="str">
        <f>TranslateRefs(FixWed!C56)</f>
        <v>0</v>
      </c>
      <c r="T56" s="23" t="str">
        <f>TEXT(FixWed!$A56,"d")</f>
        <v>16</v>
      </c>
      <c r="U56" s="16" t="str">
        <f>TransEngToLangA(TEXT(FixWed!$A56,"mmm"))</f>
        <v>Des</v>
      </c>
      <c r="V56" s="22" t="str">
        <f t="shared" si="5"/>
        <v>Des</v>
      </c>
      <c r="X56" s="11" t="str">
        <f>CONCATENATE("\WedChapter{",PrepareLatexText(T56),"}{",PrepareLatexText(V56),"}{",PrepareLatexText(R56),"}{",PrepareLatexText(FixWed!E56),"}{", PrepareLatexText(P56),"}{",PrepareLatexText(Q56),"}")</f>
        <v>\WedChapter{\nf{16}}{Des}{Salmos}{\nf{27}\ \textendash \ \nf{28}}{Deus\ \'e\ maior\ do\ que\ circunst\^ancias\ e\ o\ inimigo}{God\ is\ greater\ than\ circumstances\ \&amp;\ foes}</v>
      </c>
      <c r="Y56" s="11" t="str">
        <f t="shared" si="6"/>
        <v>\WedTopic{\nf{16}}{Des}{Deus\ \'e\ maior\ do\ que\ circunst\^ancias\ e\ o\ inimigo}{God\ is\ greater\ than\ circumstances\ \&amp;\ foes}{\nf{0}}</v>
      </c>
      <c r="Z56" s="11" t="str">
        <f>(IF(0=FixWed!D56,IF(ISBLANK(FixWed!B56),"",Y56),X56))</f>
        <v>\WedChapter{\nf{16}}{Des}{Salmos}{\nf{27}\ \textendash \ \nf{28}}{Deus\ \'e\ maior\ do\ que\ circunst\^ancias\ e\ o\ inimigo}{God\ is\ greater\ than\ circumstances\ \&amp;\ foes}</v>
      </c>
      <c r="AC56" s="15"/>
      <c r="AD56" s="15"/>
      <c r="AE56" s="15"/>
      <c r="AF56" s="15"/>
      <c r="AG56" s="15"/>
      <c r="AH56" s="15"/>
      <c r="AI56" s="15"/>
      <c r="AJ56" s="15"/>
      <c r="AK56" s="15"/>
      <c r="AL56" s="15"/>
    </row>
    <row r="57" spans="2:38" ht="15" customHeight="1" thickBot="1">
      <c r="B57" s="32" t="str">
        <f t="shared" si="7"/>
        <v>Dec</v>
      </c>
      <c r="C57" s="44" t="str">
        <f t="shared" si="8"/>
        <v>23</v>
      </c>
      <c r="D57" s="54" t="s">
        <v>15</v>
      </c>
      <c r="E57" s="54" t="s">
        <v>1014</v>
      </c>
      <c r="F57" s="50" t="s">
        <v>1047</v>
      </c>
      <c r="G57" s="2"/>
      <c r="H57" s="2" t="s">
        <v>38</v>
      </c>
      <c r="O57" s="122" t="str">
        <f>TransEngToBookLangA(FixWed!D57)</f>
        <v>Salmos</v>
      </c>
      <c r="P57" s="26" t="str">
        <f>IF(AND((LangANo()="2"),NOT(ISBLANK(FixWed!B57))), FixWed!B57,TRIM(LookupTransA(LookupId(2,FixWed!B57))))</f>
        <v>Orações respondidas traz um novo cantico</v>
      </c>
      <c r="Q57" s="26" t="str">
        <f>TRIM(LookupTransB(LookupId(2,FixWed!B57)))</f>
        <v>Answered prayer gives a new song</v>
      </c>
      <c r="R57" s="17" t="str">
        <f t="shared" si="4"/>
        <v>Psalms</v>
      </c>
      <c r="S57" s="40" t="str">
        <f>TranslateRefs(FixWed!C57)</f>
        <v>0</v>
      </c>
      <c r="T57" s="23" t="str">
        <f>TEXT(FixWed!$A57,"d")</f>
        <v>23</v>
      </c>
      <c r="U57" s="16" t="str">
        <f>TransEngToLangA(TEXT(FixWed!$A57,"mmm"))</f>
        <v>Des</v>
      </c>
      <c r="V57" s="22" t="str">
        <f t="shared" si="5"/>
        <v>Dec</v>
      </c>
      <c r="X57" s="11" t="str">
        <f>CONCATENATE("\WedChapter{",PrepareLatexText(T57),"}{",PrepareLatexText(V57),"}{",PrepareLatexText(R57),"}{",PrepareLatexText(FixWed!E57),"}{", PrepareLatexText(P57),"}{",PrepareLatexText(Q57),"}")</f>
        <v>\WedChapter{\nf{23}}{Dec}{Psalms}{\nf{29}\ \textendash \ \nf{30}}{Ora\c{c}\~oes\ respondidas\ traz\ um\ novo\ cantico}{Answered\ prayer\ gives\ a\ new\ song}</v>
      </c>
      <c r="Y57" s="11" t="str">
        <f t="shared" si="6"/>
        <v>\WedTopic{\nf{23}}{Dec}{Ora\c{c}\~oes\ respondidas\ traz\ um\ novo\ cantico}{Answered\ prayer\ gives\ a\ new\ song}{\nf{0}}</v>
      </c>
      <c r="Z57" s="11" t="str">
        <f>(IF(0=FixWed!D57,IF(ISBLANK(FixWed!B57),"",Y57),X57))</f>
        <v>\WedChapter{\nf{23}}{Dec}{Psalms}{\nf{29}\ \textendash \ \nf{30}}{Ora\c{c}\~oes\ respondidas\ traz\ um\ novo\ cantico}{Answered\ prayer\ gives\ a\ new\ song}</v>
      </c>
      <c r="AC57" s="15"/>
      <c r="AD57" s="15"/>
      <c r="AE57" s="15"/>
      <c r="AF57" s="15"/>
      <c r="AG57" s="15"/>
      <c r="AH57" s="15"/>
      <c r="AI57" s="15"/>
      <c r="AJ57" s="15"/>
      <c r="AK57" s="15"/>
      <c r="AL57" s="15"/>
    </row>
    <row r="58" spans="2:38" ht="15" customHeight="1" thickBot="1">
      <c r="B58" s="32" t="str">
        <f t="shared" si="7"/>
        <v>Des</v>
      </c>
      <c r="C58" s="44" t="str">
        <f t="shared" si="8"/>
        <v>30</v>
      </c>
      <c r="D58" s="54" t="s">
        <v>15</v>
      </c>
      <c r="E58" s="54" t="s">
        <v>1015</v>
      </c>
      <c r="F58" s="50" t="s">
        <v>1048</v>
      </c>
      <c r="G58" s="2"/>
      <c r="H58" s="2" t="s">
        <v>38</v>
      </c>
      <c r="O58" s="122" t="str">
        <f>TransEngToBookLangA(FixWed!D58)</f>
        <v>Salmos</v>
      </c>
      <c r="P58" s="26" t="str">
        <f>IF(AND((LangANo()="2"),NOT(ISBLANK(FixWed!B58))), FixWed!B58,TRIM(LookupTransA(LookupId(2,FixWed!B58))))</f>
        <v>O meu caminho é errado, mas o caminho de Deus é certo</v>
      </c>
      <c r="Q58" s="26" t="str">
        <f>TRIM(LookupTransB(LookupId(2,FixWed!B58)))</f>
        <v>My way is wrong, God's way is right</v>
      </c>
      <c r="R58" s="17" t="str">
        <f t="shared" si="4"/>
        <v>Salmos</v>
      </c>
      <c r="S58" s="40" t="str">
        <f>TranslateRefs(FixWed!C58)</f>
        <v>0</v>
      </c>
      <c r="T58" s="23" t="str">
        <f>TEXT(FixWed!$A58,"d")</f>
        <v>30</v>
      </c>
      <c r="U58" s="16" t="str">
        <f>TransEngToLangA(TEXT(FixWed!$A58,"mmm"))</f>
        <v>Des</v>
      </c>
      <c r="V58" s="22" t="str">
        <f t="shared" si="5"/>
        <v>Des</v>
      </c>
      <c r="X58" s="11" t="str">
        <f>CONCATENATE("\WedChapter{",PrepareLatexText(T58),"}{",PrepareLatexText(V58),"}{",PrepareLatexText(R58),"}{",PrepareLatexText(FixWed!E58),"}{", PrepareLatexText(P58),"}{",PrepareLatexText(Q58),"}")</f>
        <v>\WedChapter{\nf{30}}{Des}{Salmos}{\nf{31}\ \textendash \ \nf{32}}{O\ meu\ caminho\ \'e\ errado,\ mas\ o\ caminho\ de\ Deus\ \'e\ certo}{My\ way\ is\ wrong,\ God's\ way\ is\ right}</v>
      </c>
      <c r="Y58" s="11" t="str">
        <f t="shared" si="6"/>
        <v>\WedTopic{\nf{30}}{Des}{O\ meu\ caminho\ \'e\ errado,\ mas\ o\ caminho\ de\ Deus\ \'e\ certo}{My\ way\ is\ wrong,\ God's\ way\ is\ right}{\nf{0}}</v>
      </c>
      <c r="Z58" s="11" t="str">
        <f>(IF(0=FixWed!D58,IF(ISBLANK(FixWed!B58),"",Y58),X58))</f>
        <v>\WedChapter{\nf{30}}{Des}{Salmos}{\nf{31}\ \textendash \ \nf{32}}{O\ meu\ caminho\ \'e\ errado,\ mas\ o\ caminho\ de\ Deus\ \'e\ certo}{My\ way\ is\ wrong,\ God's\ way\ is\ right}</v>
      </c>
      <c r="AC58" s="15"/>
      <c r="AD58" s="15"/>
      <c r="AE58" s="15"/>
      <c r="AF58" s="15"/>
      <c r="AG58" s="15"/>
      <c r="AH58" s="15"/>
      <c r="AI58" s="15"/>
      <c r="AJ58" s="15"/>
      <c r="AK58" s="15"/>
      <c r="AL58" s="15"/>
    </row>
    <row r="59" spans="2:38" ht="16" thickBot="1">
      <c r="B59" s="32" t="str">
        <f>V59</f>
        <v/>
      </c>
      <c r="C59" s="44" t="e">
        <f>T59</f>
        <v>#REF!</v>
      </c>
      <c r="D59" s="54" t="s">
        <v>952</v>
      </c>
      <c r="E59" s="177">
        <v>19</v>
      </c>
      <c r="F59" s="171" t="s">
        <v>1049</v>
      </c>
      <c r="G59" s="2"/>
      <c r="H59" s="2" t="s">
        <v>38</v>
      </c>
      <c r="O59" s="122" t="e">
        <f>TransEngToBookLangA(FixWed!D59)</f>
        <v>#VALUE!</v>
      </c>
      <c r="P59" s="26" t="e">
        <f>IF(AND((LangANo()="2"),NOT(ISBLANK(FixWed!B59))), FixWed!B59,TRIM(LookupTransA(LookupId(2,FixWed!B59))))</f>
        <v>#VALUE!</v>
      </c>
      <c r="Q59" s="26" t="e">
        <f>TRIM(LookupTransB(LookupId(2,FixWed!B59)))</f>
        <v>#VALUE!</v>
      </c>
      <c r="R59" s="17" t="str">
        <f t="shared" si="4"/>
        <v/>
      </c>
      <c r="S59" s="40" t="e">
        <f>TranslateRefs(FixWed!C59)</f>
        <v>#VALUE!</v>
      </c>
      <c r="T59" s="23" t="e">
        <f>TEXT(FixWed!$A59,"d")</f>
        <v>#REF!</v>
      </c>
      <c r="U59" s="16" t="e">
        <f>TransEngToLangA(TEXT(FixWed!$A59,"mmm"))</f>
        <v>#VALUE!</v>
      </c>
      <c r="V59" s="22" t="str">
        <f t="shared" si="5"/>
        <v/>
      </c>
      <c r="X59" s="11" t="e">
        <f>CONCATENATE("\WedChapter{",PrepareLatexText(T59),"}{",PrepareLatexText(V59),"}{",PrepareLatexText(R59),"}{",PrepareLatexText(FixWed!E59),"}{", PrepareLatexText(P59),"}{",PrepareLatexText(Q59),"}")</f>
        <v>#VALUE!</v>
      </c>
      <c r="Y59" s="11" t="e">
        <f t="shared" si="6"/>
        <v>#VALUE!</v>
      </c>
      <c r="Z59" s="11" t="e">
        <f>(IF(0=FixWed!D59,IF(ISBLANK(FixWed!B59),"",Y59),X59))</f>
        <v>#REF!</v>
      </c>
      <c r="AC59" s="15"/>
      <c r="AD59" s="15"/>
      <c r="AE59" s="15"/>
      <c r="AF59" s="15"/>
      <c r="AG59" s="15"/>
      <c r="AH59" s="15"/>
      <c r="AI59" s="15"/>
      <c r="AJ59" s="15"/>
      <c r="AK59" s="15"/>
      <c r="AL59" s="15"/>
    </row>
    <row r="60" spans="2:38">
      <c r="O60" s="122" t="e">
        <f>TransEngToBookLangA(FixWed!D60)</f>
        <v>#VALUE!</v>
      </c>
      <c r="P60" s="26" t="e">
        <f>IF(AND((LangANo()="2"),NOT(ISBLANK(FixWed!B60))), FixWed!B60,TRIM(LookupTransA(LookupId(2,FixWed!B60))))</f>
        <v>#VALUE!</v>
      </c>
      <c r="Q60" s="26" t="e">
        <f>TRIM(LookupTransB(LookupId(2,FixWed!B60)))</f>
        <v>#VALUE!</v>
      </c>
      <c r="R60" s="17" t="str">
        <f t="shared" si="4"/>
        <v/>
      </c>
      <c r="S60" s="40" t="e">
        <f>TranslateRefs(FixWed!C60)</f>
        <v>#VALUE!</v>
      </c>
      <c r="T60" s="23" t="e">
        <f>TEXT(FixWed!$A60,"d")</f>
        <v>#REF!</v>
      </c>
      <c r="U60" s="16" t="e">
        <f>TransEngToLangA(TEXT(FixWed!$A60,"mmm"))</f>
        <v>#VALUE!</v>
      </c>
      <c r="V60" s="22" t="str">
        <f t="shared" si="5"/>
        <v/>
      </c>
      <c r="X60" s="11" t="e">
        <f>CONCATENATE("\WedChapter{",PrepareLatexText(T60),"}{",PrepareLatexText(V60),"}{",PrepareLatexText(R60),"}{",PrepareLatexText(FixWed!E60),"}{", PrepareLatexText(P60),"}{",PrepareLatexText(Q60),"}")</f>
        <v>#VALUE!</v>
      </c>
      <c r="Y60" s="11" t="e">
        <f t="shared" si="6"/>
        <v>#VALUE!</v>
      </c>
      <c r="Z60" s="11" t="e">
        <f>(IF(0=FixWed!D60,IF(ISBLANK(FixWed!B60),"",Y60),X60))</f>
        <v>#REF!</v>
      </c>
    </row>
    <row r="61" spans="2:38">
      <c r="X61" s="11"/>
    </row>
  </sheetData>
  <mergeCells count="19">
    <mergeCell ref="D53:F53"/>
    <mergeCell ref="O2:V2"/>
    <mergeCell ref="B2:F2"/>
    <mergeCell ref="B3:F3"/>
    <mergeCell ref="B32:F32"/>
    <mergeCell ref="B33:F33"/>
    <mergeCell ref="D7:F7"/>
    <mergeCell ref="D10:F10"/>
    <mergeCell ref="D13:F13"/>
    <mergeCell ref="D25:F25"/>
    <mergeCell ref="D28:F28"/>
    <mergeCell ref="D16:F16"/>
    <mergeCell ref="D19:F19"/>
    <mergeCell ref="D22:F22"/>
    <mergeCell ref="C1:F1"/>
    <mergeCell ref="D35:F35"/>
    <mergeCell ref="D38:F38"/>
    <mergeCell ref="D47:F47"/>
    <mergeCell ref="D50:F50"/>
  </mergeCells>
  <printOptions horizontalCentered="1" verticalCentered="1"/>
  <pageMargins left="0.23622047244094491" right="0.23622047244094491" top="0.4" bottom="0.48" header="0" footer="0"/>
  <pageSetup paperSize="11" scale="72" orientation="portrait" r:id="rId1"/>
  <legacyDrawing r:id="rId2"/>
</worksheet>
</file>

<file path=xl/worksheets/sheet8.xml><?xml version="1.0" encoding="utf-8"?>
<worksheet xmlns="http://schemas.openxmlformats.org/spreadsheetml/2006/main" xmlns:r="http://schemas.openxmlformats.org/officeDocument/2006/relationships">
  <sheetPr codeName="Sheet9"/>
  <dimension ref="A1:H76"/>
  <sheetViews>
    <sheetView workbookViewId="0">
      <selection activeCell="B14" sqref="B14"/>
    </sheetView>
  </sheetViews>
  <sheetFormatPr defaultRowHeight="15"/>
  <cols>
    <col min="1" max="1" width="19.81640625" style="35" bestFit="1" customWidth="1"/>
    <col min="2" max="2" width="35.36328125" style="6" bestFit="1" customWidth="1"/>
    <col min="3" max="3" width="80.453125" style="202" bestFit="1" customWidth="1"/>
    <col min="4" max="4" width="19.08984375" style="2" customWidth="1"/>
    <col min="5" max="5" width="22.1796875" style="2" customWidth="1"/>
    <col min="6" max="6" width="10.453125" customWidth="1"/>
  </cols>
  <sheetData>
    <row r="1" spans="1:7">
      <c r="A1" s="112"/>
      <c r="B1" s="196"/>
      <c r="C1" s="196"/>
      <c r="D1" s="196"/>
      <c r="E1" s="196"/>
    </row>
    <row r="2" spans="1:7" ht="30">
      <c r="A2" s="112"/>
      <c r="B2" s="196"/>
      <c r="C2" s="196"/>
      <c r="D2" s="196" t="str">
        <f>INDEX('Edit Wed'!D2:E2,1,1)</f>
        <v>List book names in English only</v>
      </c>
      <c r="E2" s="196"/>
    </row>
    <row r="3" spans="1:7">
      <c r="A3" s="112" t="str">
        <f>INDEX('Edit Wed'!A3:B3,1,1)</f>
        <v>Date</v>
      </c>
      <c r="B3" s="196" t="str">
        <f>INDEX('Edit Wed'!B3:C3,1,1)</f>
        <v>Eng Topic</v>
      </c>
      <c r="C3" s="196" t="str">
        <f>INDEX('Edit Wed'!C3:D3,1,1)</f>
        <v>References</v>
      </c>
      <c r="D3" s="196" t="str">
        <f>INDEX('Edit Wed'!D3:E3,1,1)</f>
        <v>Book</v>
      </c>
      <c r="E3" s="196" t="str">
        <f>INDEX('Edit Wed'!E3:F3,1,1)</f>
        <v>Chapter</v>
      </c>
    </row>
    <row r="4" spans="1:7">
      <c r="A4" s="112">
        <f>INDEX('Edit Wed'!A4:B4,1,1)</f>
        <v>46029</v>
      </c>
      <c r="B4" s="196" t="str">
        <f>INDEX('Edit Wed'!B4:C4,1,1)</f>
        <v>Trusting God for a new beginning</v>
      </c>
      <c r="C4" s="196">
        <f>INDEX('Edit Wed'!C4:D4,1,1)</f>
        <v>0</v>
      </c>
      <c r="D4" s="196" t="str">
        <f>INDEX('Edit Wed'!D4:E4,1,1)</f>
        <v>Ezra</v>
      </c>
      <c r="E4" s="196" t="str">
        <f>INDEX('Edit Wed'!E4:F4,1,1)</f>
        <v>1 &amp; 2</v>
      </c>
    </row>
    <row r="5" spans="1:7">
      <c r="A5" s="112">
        <f>INDEX('Edit Wed'!A5:B5,1,1)</f>
        <v>46036</v>
      </c>
      <c r="B5" s="196" t="str">
        <f>INDEX('Edit Wed'!B5:C5,1,1)</f>
        <v>God’s chastening hand removed</v>
      </c>
      <c r="C5" s="196">
        <f>INDEX('Edit Wed'!C5:D5,1,1)</f>
        <v>0</v>
      </c>
      <c r="D5" s="196" t="str">
        <f>INDEX('Edit Wed'!D5:E5,1,1)</f>
        <v>Ezra</v>
      </c>
      <c r="E5" s="196" t="str">
        <f>INDEX('Edit Wed'!E5:F5,1,1)</f>
        <v>3</v>
      </c>
    </row>
    <row r="6" spans="1:7">
      <c r="A6" s="112">
        <f>INDEX('Edit Wed'!A6:B6,1,1)</f>
        <v>46043</v>
      </c>
      <c r="B6" s="196" t="str">
        <f>INDEX('Edit Wed'!B6:C6,1,1)</f>
        <v>Greater blessing, fiercer attack</v>
      </c>
      <c r="C6" s="196">
        <f>INDEX('Edit Wed'!C6:D6,1,1)</f>
        <v>0</v>
      </c>
      <c r="D6" s="196" t="str">
        <f>INDEX('Edit Wed'!D6:E6,1,1)</f>
        <v>Ezra</v>
      </c>
      <c r="E6" s="196" t="str">
        <f>INDEX('Edit Wed'!E6:F6,1,1)</f>
        <v>4</v>
      </c>
    </row>
    <row r="7" spans="1:7" ht="30">
      <c r="A7" s="112">
        <f>INDEX('Edit Wed'!A7:B7,1,1)</f>
        <v>46050</v>
      </c>
      <c r="B7" s="196" t="str">
        <f>INDEX('Edit Wed'!B7:C7,1,1)</f>
        <v>Gaining God's approval</v>
      </c>
      <c r="C7" s="196" t="str">
        <f>INDEX('Edit Wed'!C7:D7,1,1)</f>
        <v>Gen 6:8,22; 17:1; Exo 33:12-17; 1Sa 2:26; 3:10,19; 15:22; Isa 66:2; Dan 10:11,12; Joh 8:29; Act 13:22</v>
      </c>
      <c r="D7" s="196">
        <f>INDEX('Edit Wed'!D7:E7,1,1)</f>
        <v>0</v>
      </c>
      <c r="E7" s="196">
        <f>INDEX('Edit Wed'!E7:F7,1,1)</f>
        <v>0</v>
      </c>
    </row>
    <row r="8" spans="1:7" ht="37.5" customHeight="1">
      <c r="A8" s="112">
        <f>INDEX('Edit Wed'!A8:B8,1,1)</f>
        <v>46057</v>
      </c>
      <c r="B8" s="196" t="str">
        <f>INDEX('Edit Wed'!B8:C8,1,1)</f>
        <v>Never let your courage falter</v>
      </c>
      <c r="C8" s="196">
        <f>INDEX('Edit Wed'!C8:D8,1,1)</f>
        <v>0</v>
      </c>
      <c r="D8" s="196" t="str">
        <f>INDEX('Edit Wed'!D8:E8,1,1)</f>
        <v>Ezra</v>
      </c>
      <c r="E8" s="196" t="str">
        <f>INDEX('Edit Wed'!E8:F8,1,1)</f>
        <v>5 &amp; 6</v>
      </c>
    </row>
    <row r="9" spans="1:7" s="130" customFormat="1">
      <c r="A9" s="112">
        <f>INDEX('Edit Wed'!A9:B9,1,1)</f>
        <v>46064</v>
      </c>
      <c r="B9" s="196" t="str">
        <f>INDEX('Edit Wed'!B9:C9,1,1)</f>
        <v>God's hand providing &amp; protecting</v>
      </c>
      <c r="C9" s="196">
        <f>INDEX('Edit Wed'!C9:D9,1,1)</f>
        <v>0</v>
      </c>
      <c r="D9" s="196" t="str">
        <f>INDEX('Edit Wed'!D9:E9,1,1)</f>
        <v>Ezra</v>
      </c>
      <c r="E9" s="196" t="str">
        <f>INDEX('Edit Wed'!E9:F9,1,1)</f>
        <v>7 &amp; 8</v>
      </c>
    </row>
    <row r="10" spans="1:7" ht="30">
      <c r="A10" s="112">
        <f>INDEX('Edit Wed'!A10:B10,1,1)</f>
        <v>46071</v>
      </c>
      <c r="B10" s="196" t="str">
        <f>INDEX('Edit Wed'!B10:C10,1,1)</f>
        <v>Pre-eminence of Love</v>
      </c>
      <c r="C10" s="196" t="str">
        <f>INDEX('Edit Wed'!C10:D10,1,1)</f>
        <v>Hos 11:4; Joh 12:32; 1Co 13:13; Ga 5:6,22; Eph 3:17-19; 5:2; Col 3:14; 1Jo 4:16-18</v>
      </c>
      <c r="D10" s="196">
        <f>INDEX('Edit Wed'!D10:E10,1,1)</f>
        <v>0</v>
      </c>
      <c r="E10" s="196">
        <f>INDEX('Edit Wed'!E10:F10,1,1)</f>
        <v>0</v>
      </c>
    </row>
    <row r="11" spans="1:7" ht="36.9" customHeight="1">
      <c r="A11" s="112">
        <f>INDEX('Edit Wed'!A11:B11,1,1)</f>
        <v>46078</v>
      </c>
      <c r="B11" s="196" t="str">
        <f>INDEX('Edit Wed'!B11:C11,1,1)</f>
        <v>Downward spiral of compromise</v>
      </c>
      <c r="C11" s="196">
        <f>INDEX('Edit Wed'!C11:D11,1,1)</f>
        <v>0</v>
      </c>
      <c r="D11" s="196" t="str">
        <f>INDEX('Edit Wed'!D11:E11,1,1)</f>
        <v>Ezra</v>
      </c>
      <c r="E11" s="196" t="str">
        <f>INDEX('Edit Wed'!E11:F11,1,1)</f>
        <v>9</v>
      </c>
    </row>
    <row r="12" spans="1:7">
      <c r="A12" s="112">
        <f>INDEX('Edit Wed'!A12:B12,1,1)</f>
        <v>46085</v>
      </c>
      <c r="B12" s="196" t="str">
        <f>INDEX('Edit Wed'!B12:C12,1,1)</f>
        <v>Ray of hope in the darkness</v>
      </c>
      <c r="C12" s="196">
        <f>INDEX('Edit Wed'!C12:D12,1,1)</f>
        <v>0</v>
      </c>
      <c r="D12" s="196" t="str">
        <f>INDEX('Edit Wed'!D12:E12,1,1)</f>
        <v>Ezra</v>
      </c>
      <c r="E12" s="196" t="str">
        <f>INDEX('Edit Wed'!E12:F12,1,1)</f>
        <v>10</v>
      </c>
    </row>
    <row r="13" spans="1:7" ht="30">
      <c r="A13" s="112">
        <f>INDEX('Edit Wed'!A13:B13,1,1)</f>
        <v>46092</v>
      </c>
      <c r="B13" s="196" t="str">
        <f>INDEX('Edit Wed'!B13:C13,1,1)</f>
        <v>The kind of heart we need</v>
      </c>
      <c r="C13" s="196" t="str">
        <f>INDEX('Edit Wed'!C13:D13,1,1)</f>
        <v>Deu 5:29; 1Sa 12:24; Pro 3:5-6; 23:26; Jer 24:7; 29:13; Eze 11:19-20; Joe 2:12-13; Luk 10:27</v>
      </c>
      <c r="D13" s="196">
        <f>INDEX('Edit Wed'!D13:E13,1,1)</f>
        <v>0</v>
      </c>
      <c r="E13" s="196">
        <f>INDEX('Edit Wed'!E13:F13,1,1)</f>
        <v>0</v>
      </c>
      <c r="F13" s="65"/>
      <c r="G13" s="103"/>
    </row>
    <row r="14" spans="1:7" ht="36.9" customHeight="1">
      <c r="A14" s="112">
        <f>INDEX('Edit Wed'!A14:B14,1,1)</f>
        <v>46099</v>
      </c>
      <c r="B14" s="196" t="str">
        <f>INDEX('Edit Wed'!B14:C14,1,1)</f>
        <v>Examining one's own priorities</v>
      </c>
      <c r="C14" s="196">
        <f>INDEX('Edit Wed'!C14:D14,1,1)</f>
        <v>0</v>
      </c>
      <c r="D14" s="196" t="str">
        <f>INDEX('Edit Wed'!D14:E14,1,1)</f>
        <v>Haggai</v>
      </c>
      <c r="E14" s="196" t="str">
        <f>INDEX('Edit Wed'!E14:F14,1,1)</f>
        <v>1</v>
      </c>
      <c r="F14" s="201"/>
      <c r="G14" s="103"/>
    </row>
    <row r="15" spans="1:7">
      <c r="A15" s="112">
        <f>INDEX('Edit Wed'!A15:B15,1,1)</f>
        <v>46106</v>
      </c>
      <c r="B15" s="196" t="str">
        <f>INDEX('Edit Wed'!B15:C15,1,1)</f>
        <v>Take note of God's blessings</v>
      </c>
      <c r="C15" s="196">
        <f>INDEX('Edit Wed'!C15:D15,1,1)</f>
        <v>0</v>
      </c>
      <c r="D15" s="196" t="str">
        <f>INDEX('Edit Wed'!D15:E15,1,1)</f>
        <v>Haggai</v>
      </c>
      <c r="E15" s="196" t="str">
        <f>INDEX('Edit Wed'!E15:F15,1,1)</f>
        <v>2</v>
      </c>
      <c r="F15" s="65"/>
      <c r="G15" s="103"/>
    </row>
    <row r="16" spans="1:7" ht="17.399999999999999" customHeight="1">
      <c r="A16" s="112">
        <f>INDEX('Edit Wed'!A16:B16,1,1)</f>
        <v>46113</v>
      </c>
      <c r="B16" s="196" t="str">
        <f>INDEX('Edit Wed'!B16:C16,1,1)</f>
        <v>Significant place names</v>
      </c>
      <c r="C16" s="196" t="str">
        <f>INDEX('Edit Wed'!C16:D16,1,1)</f>
        <v>Gen 16:13-14; 22:14; 28:19; 35:7; Jdg 15:17-19; 1Sa 7:12; Mat 26:36; Joh 19:17</v>
      </c>
      <c r="D16" s="196">
        <f>INDEX('Edit Wed'!D16:E16,1,1)</f>
        <v>0</v>
      </c>
      <c r="E16" s="196">
        <f>INDEX('Edit Wed'!E16:F16,1,1)</f>
        <v>0</v>
      </c>
      <c r="F16" s="65"/>
      <c r="G16" s="103"/>
    </row>
    <row r="17" spans="1:8" ht="33.9" customHeight="1">
      <c r="A17" s="112">
        <f>INDEX('Edit Wed'!A17:B17,1,1)</f>
        <v>46120</v>
      </c>
      <c r="B17" s="196" t="str">
        <f>INDEX('Edit Wed'!B17:C17,1,1)</f>
        <v>Prayer changes things, if it first changes me</v>
      </c>
      <c r="C17" s="196">
        <f>INDEX('Edit Wed'!C17:D17,1,1)</f>
        <v>0</v>
      </c>
      <c r="D17" s="196" t="str">
        <f>INDEX('Edit Wed'!D17:E17,1,1)</f>
        <v>Nehemiah</v>
      </c>
      <c r="E17" s="196" t="str">
        <f>INDEX('Edit Wed'!E17:F17,1,1)</f>
        <v>1</v>
      </c>
      <c r="F17" s="201"/>
      <c r="G17" s="92"/>
    </row>
    <row r="18" spans="1:8">
      <c r="A18" s="112">
        <f>INDEX('Edit Wed'!A18:B18,1,1)</f>
        <v>46127</v>
      </c>
      <c r="B18" s="196" t="str">
        <f>INDEX('Edit Wed'!B18:C18,1,1)</f>
        <v>No time lost in waiting on God</v>
      </c>
      <c r="C18" s="196">
        <f>INDEX('Edit Wed'!C18:D18,1,1)</f>
        <v>0</v>
      </c>
      <c r="D18" s="196" t="str">
        <f>INDEX('Edit Wed'!D18:E18,1,1)</f>
        <v>Nehemiah</v>
      </c>
      <c r="E18" s="196" t="str">
        <f>INDEX('Edit Wed'!E18:F18,1,1)</f>
        <v>2</v>
      </c>
      <c r="F18" s="65"/>
      <c r="G18" s="103"/>
      <c r="H18" s="6"/>
    </row>
    <row r="19" spans="1:8" ht="45">
      <c r="A19" s="112">
        <f>INDEX('Edit Wed'!A19:B19,1,1)</f>
        <v>46134</v>
      </c>
      <c r="B19" s="196" t="str">
        <f>INDEX('Edit Wed'!B19:C19,1,1)</f>
        <v>Importance of perspective</v>
      </c>
      <c r="C19" s="196" t="str">
        <f>INDEX('Edit Wed'!C19:D19,1,1)</f>
        <v xml:space="preserve">2Ki 4:9,10; 6:15-17; Isa 6:1-8; Mat 1:19,20; 9:11-13; 13:11; 14:16; 19:13,14; 2Co 4:16-18
</v>
      </c>
      <c r="D19" s="196">
        <f>INDEX('Edit Wed'!D19:E19,1,1)</f>
        <v>0</v>
      </c>
      <c r="E19" s="196">
        <f>INDEX('Edit Wed'!E19:F19,1,1)</f>
        <v>0</v>
      </c>
      <c r="F19" s="65"/>
      <c r="G19" s="103"/>
    </row>
    <row r="20" spans="1:8" ht="38.15" customHeight="1">
      <c r="A20" s="112">
        <f>INDEX('Edit Wed'!A20:B20,1,1)</f>
        <v>46141</v>
      </c>
      <c r="B20" s="196" t="str">
        <f>INDEX('Edit Wed'!B20:C20,1,1)</f>
        <v>Unity is strength</v>
      </c>
      <c r="C20" s="196">
        <f>INDEX('Edit Wed'!C20:D20,1,1)</f>
        <v>0</v>
      </c>
      <c r="D20" s="196" t="str">
        <f>INDEX('Edit Wed'!D20:E20,1,1)</f>
        <v>Nehemiah</v>
      </c>
      <c r="E20" s="196" t="str">
        <f>INDEX('Edit Wed'!E20:F20,1,1)</f>
        <v>3</v>
      </c>
      <c r="F20" s="65"/>
      <c r="G20" s="103"/>
    </row>
    <row r="21" spans="1:8" ht="30">
      <c r="A21" s="112">
        <f>INDEX('Edit Wed'!A21:B21,1,1)</f>
        <v>46148</v>
      </c>
      <c r="B21" s="196" t="str">
        <f>INDEX('Edit Wed'!B21:C21,1,1)</f>
        <v xml:space="preserve">Greater dedication; greater opposition </v>
      </c>
      <c r="C21" s="196">
        <f>INDEX('Edit Wed'!C21:D21,1,1)</f>
        <v>0</v>
      </c>
      <c r="D21" s="196" t="str">
        <f>INDEX('Edit Wed'!D21:E21,1,1)</f>
        <v>Nehemiah</v>
      </c>
      <c r="E21" s="196" t="str">
        <f>INDEX('Edit Wed'!E21:F21,1,1)</f>
        <v>4</v>
      </c>
    </row>
    <row r="22" spans="1:8" ht="30">
      <c r="A22" s="112">
        <f>INDEX('Edit Wed'!A22:B22,1,1)</f>
        <v>46155</v>
      </c>
      <c r="B22" s="196" t="str">
        <f>INDEX('Edit Wed'!B22:C22,1,1)</f>
        <v>Hiding Places</v>
      </c>
      <c r="C22" s="196" t="str">
        <f>INDEX('Edit Wed'!C22:D22,1,1)</f>
        <v>Gen 3:8; Ps 27:5; 31:20,21; 139:11,12; Pro 30:26; Isa 25:4; Jer 23:24; Luk 12:2,3; Rev 6:14-17</v>
      </c>
      <c r="D22" s="196">
        <f>INDEX('Edit Wed'!D22:E22,1,1)</f>
        <v>0</v>
      </c>
      <c r="E22" s="196">
        <f>INDEX('Edit Wed'!E22:F22,1,1)</f>
        <v>0</v>
      </c>
    </row>
    <row r="23" spans="1:8" ht="30" customHeight="1">
      <c r="A23" s="112">
        <f>INDEX('Edit Wed'!A23:B23,1,1)</f>
        <v>46162</v>
      </c>
      <c r="B23" s="196" t="str">
        <f>INDEX('Edit Wed'!B23:C23,1,1)</f>
        <v>The enemy within is the biggest danger</v>
      </c>
      <c r="C23" s="196">
        <f>INDEX('Edit Wed'!C23:D23,1,1)</f>
        <v>0</v>
      </c>
      <c r="D23" s="196" t="str">
        <f>INDEX('Edit Wed'!D23:E23,1,1)</f>
        <v>Nehemiah</v>
      </c>
      <c r="E23" s="196" t="str">
        <f>INDEX('Edit Wed'!E23:F23,1,1)</f>
        <v>5</v>
      </c>
    </row>
    <row r="24" spans="1:8">
      <c r="A24" s="112">
        <f>INDEX('Edit Wed'!A24:B24,1,1)</f>
        <v>46169</v>
      </c>
      <c r="B24" s="196" t="str">
        <f>INDEX('Edit Wed'!B24:C24,1,1)</f>
        <v>Beware of the friendly enemy</v>
      </c>
      <c r="C24" s="196">
        <f>INDEX('Edit Wed'!C24:D24,1,1)</f>
        <v>0</v>
      </c>
      <c r="D24" s="196" t="str">
        <f>INDEX('Edit Wed'!D24:E24,1,1)</f>
        <v>Nehemiah</v>
      </c>
      <c r="E24" s="196" t="str">
        <f>INDEX('Edit Wed'!E24:F24,1,1)</f>
        <v>6</v>
      </c>
      <c r="F24" s="201"/>
      <c r="G24" s="92"/>
    </row>
    <row r="25" spans="1:8" ht="30">
      <c r="A25" s="112">
        <f>INDEX('Edit Wed'!A25:B25,1,1)</f>
        <v>46176</v>
      </c>
      <c r="B25" s="196" t="str">
        <f>INDEX('Edit Wed'!B25:C25,1,1)</f>
        <v>Timely service</v>
      </c>
      <c r="C25" s="196" t="str">
        <f>INDEX('Edit Wed'!C25:D25,1,1)</f>
        <v>Gen 18:2-8; Jos 2:6-21; 1Sa 25:18-33; Mar 14:8; 15:40-47; Act 23:16-23; 28:15; 2Tim 1:16-18</v>
      </c>
      <c r="D25" s="196">
        <f>INDEX('Edit Wed'!D25:E25,1,1)</f>
        <v>0</v>
      </c>
      <c r="E25" s="196">
        <f>INDEX('Edit Wed'!E25:F25,1,1)</f>
        <v>0</v>
      </c>
    </row>
    <row r="26" spans="1:8" ht="34.5" customHeight="1">
      <c r="A26" s="112">
        <f>INDEX('Edit Wed'!A26:B26,1,1)</f>
        <v>46183</v>
      </c>
      <c r="B26" s="196" t="str">
        <f>INDEX('Edit Wed'!B26:C26,1,1)</f>
        <v>Fruitfulness by delighting in God's will</v>
      </c>
      <c r="C26" s="196">
        <f>INDEX('Edit Wed'!C26:D26,1,1)</f>
        <v>0</v>
      </c>
      <c r="D26" s="196" t="str">
        <f>INDEX('Edit Wed'!D26:E26,1,1)</f>
        <v>Nehemiah</v>
      </c>
      <c r="E26" s="196" t="str">
        <f>INDEX('Edit Wed'!E26:F26,1,1)</f>
        <v>7 - 8</v>
      </c>
    </row>
    <row r="27" spans="1:8" ht="30">
      <c r="A27" s="112">
        <f>INDEX('Edit Wed'!A27:B27,1,1)</f>
        <v>46190</v>
      </c>
      <c r="B27" s="196" t="str">
        <f>INDEX('Edit Wed'!B27:C27,1,1)</f>
        <v>Majesty of God and depravity of man</v>
      </c>
      <c r="C27" s="196">
        <f>INDEX('Edit Wed'!C27:D27,1,1)</f>
        <v>0</v>
      </c>
      <c r="D27" s="196" t="str">
        <f>INDEX('Edit Wed'!D27:E27,1,1)</f>
        <v>Nehemiah</v>
      </c>
      <c r="E27" s="196" t="str">
        <f>INDEX('Edit Wed'!E27:F27,1,1)</f>
        <v>9</v>
      </c>
    </row>
    <row r="28" spans="1:8" ht="45">
      <c r="A28" s="112">
        <f>INDEX('Edit Wed'!A28:B28,1,1)</f>
        <v>46197</v>
      </c>
      <c r="B28" s="196" t="str">
        <f>INDEX('Edit Wed'!B28:C28,1,1)</f>
        <v>Composure of God's people</v>
      </c>
      <c r="C28" s="196" t="str">
        <f>INDEX('Edit Wed'!C28:D28,1,1)</f>
        <v xml:space="preserve">Ps 131:2; Pro 1:33; Isa 28:16; 32:17; Lam 3:26; Dan 2:15-18; Rom 5:1; 1Pe 3:12
</v>
      </c>
      <c r="D28" s="196">
        <f>INDEX('Edit Wed'!D28:E28,1,1)</f>
        <v>0</v>
      </c>
      <c r="E28" s="196">
        <f>INDEX('Edit Wed'!E28:F28,1,1)</f>
        <v>0</v>
      </c>
    </row>
    <row r="29" spans="1:8" ht="32.15" customHeight="1">
      <c r="A29" s="112">
        <f>INDEX('Edit Wed'!A29:B29,1,1)</f>
        <v>46204</v>
      </c>
      <c r="B29" s="196" t="str">
        <f>INDEX('Edit Wed'!B29:C29,1,1)</f>
        <v xml:space="preserve">First treat the cause, not the symptoms </v>
      </c>
      <c r="C29" s="196">
        <f>INDEX('Edit Wed'!C29:D29,1,1)</f>
        <v>0</v>
      </c>
      <c r="D29" s="196" t="str">
        <f>INDEX('Edit Wed'!D29:E29,1,1)</f>
        <v>Nehemiah</v>
      </c>
      <c r="E29" s="196" t="str">
        <f>INDEX('Edit Wed'!E29:F29,1,1)</f>
        <v>10 - 11</v>
      </c>
    </row>
    <row r="30" spans="1:8">
      <c r="A30" s="112">
        <f>INDEX('Edit Wed'!A30:B30,1,1)</f>
        <v>46211</v>
      </c>
      <c r="B30" s="196" t="str">
        <f>INDEX('Edit Wed'!B30:C30,1,1)</f>
        <v>A sanctified people glorfying God</v>
      </c>
      <c r="C30" s="196">
        <f>INDEX('Edit Wed'!C30:D30,1,1)</f>
        <v>0</v>
      </c>
      <c r="D30" s="196" t="str">
        <f>INDEX('Edit Wed'!D30:E30,1,1)</f>
        <v>Nehemiah</v>
      </c>
      <c r="E30" s="196">
        <f>INDEX('Edit Wed'!E30:F30,1,1)</f>
        <v>12</v>
      </c>
    </row>
    <row r="31" spans="1:8">
      <c r="A31" s="112">
        <f>INDEX('Edit Wed'!A31:B31,1,1)</f>
        <v>0</v>
      </c>
      <c r="B31" s="196">
        <f>INDEX('Edit Wed'!B31:C31,1,1)</f>
        <v>0</v>
      </c>
      <c r="C31" s="196">
        <f>INDEX('Edit Wed'!C31:D31,1,1)</f>
        <v>0</v>
      </c>
      <c r="D31" s="196">
        <f>INDEX('Edit Wed'!D31:E31,1,1)</f>
        <v>0</v>
      </c>
      <c r="E31" s="196">
        <f>INDEX('Edit Wed'!E31:F31,1,1)</f>
        <v>0</v>
      </c>
    </row>
    <row r="32" spans="1:8">
      <c r="A32" s="112">
        <f>INDEX('Edit Wed'!A32:B32,1,1)</f>
        <v>0</v>
      </c>
      <c r="B32" s="196">
        <f>INDEX('Edit Wed'!B32:C32,1,1)</f>
        <v>0</v>
      </c>
      <c r="C32" s="196">
        <f>INDEX('Edit Wed'!C32:D32,1,1)</f>
        <v>0</v>
      </c>
      <c r="D32" s="196">
        <f>INDEX('Edit Wed'!D32:E32,1,1)</f>
        <v>0</v>
      </c>
      <c r="E32" s="196">
        <f>INDEX('Edit Wed'!E32:F32,1,1)</f>
        <v>0</v>
      </c>
    </row>
    <row r="33" spans="1:5">
      <c r="A33" s="112">
        <f>INDEX('Edit Wed'!A33:B33,1,1)</f>
        <v>0</v>
      </c>
      <c r="B33" s="196">
        <f>INDEX('Edit Wed'!B33:C33,1,1)</f>
        <v>0</v>
      </c>
      <c r="C33" s="196">
        <f>INDEX('Edit Wed'!C33:D33,1,1)</f>
        <v>0</v>
      </c>
      <c r="D33" s="196">
        <f>INDEX('Edit Wed'!D33:E33,1,1)</f>
        <v>0</v>
      </c>
      <c r="E33" s="196">
        <f>INDEX('Edit Wed'!E33:F33,1,1)</f>
        <v>0</v>
      </c>
    </row>
    <row r="34" spans="1:5">
      <c r="A34" s="112">
        <f>INDEX('Edit Wed'!A34:B34,1,1)</f>
        <v>46218</v>
      </c>
      <c r="B34" s="196" t="str">
        <f>INDEX('Edit Wed'!B34:C34,1,1)</f>
        <v>Walls of separation crumbling</v>
      </c>
      <c r="C34" s="196">
        <f>INDEX('Edit Wed'!C34:D34,1,1)</f>
        <v>0</v>
      </c>
      <c r="D34" s="196" t="str">
        <f>INDEX('Edit Wed'!D34:E34,1,1)</f>
        <v>Nehemiah</v>
      </c>
      <c r="E34" s="196" t="str">
        <f>INDEX('Edit Wed'!E34:F34,1,1)</f>
        <v>13</v>
      </c>
    </row>
    <row r="35" spans="1:5" ht="30">
      <c r="A35" s="112">
        <f>INDEX('Edit Wed'!A35:B35,1,1)</f>
        <v>46225</v>
      </c>
      <c r="B35" s="196" t="str">
        <f>INDEX('Edit Wed'!B35:C35,1,1)</f>
        <v>Weapons of our warfare</v>
      </c>
      <c r="C35" s="196" t="str">
        <f>INDEX('Edit Wed'!C35:D35,1,1)</f>
        <v>1Sa 17:45; Mat 4:4; 26:52; 2Co 10:4; Eph 6:10-18; Heb 4:12; 1Pe 2:15; Rev 2:16; 12:11</v>
      </c>
      <c r="D35" s="196">
        <f>INDEX('Edit Wed'!D35:E35,1,1)</f>
        <v>0</v>
      </c>
      <c r="E35" s="196">
        <f>INDEX('Edit Wed'!E35:F35,1,1)</f>
        <v>0</v>
      </c>
    </row>
    <row r="36" spans="1:5" ht="34.5" customHeight="1">
      <c r="A36" s="112">
        <f>INDEX('Edit Wed'!A36:B36,1,1)</f>
        <v>46232</v>
      </c>
      <c r="B36" s="196" t="str">
        <f>INDEX('Edit Wed'!B36:C36,1,1)</f>
        <v>The glory of the Lord</v>
      </c>
      <c r="C36" s="196">
        <f>INDEX('Edit Wed'!C36:D36,1,1)</f>
        <v>0</v>
      </c>
      <c r="D36" s="196" t="str">
        <f>INDEX('Edit Wed'!D36:E36,1,1)</f>
        <v>Ezekiel</v>
      </c>
      <c r="E36" s="196" t="str">
        <f>INDEX('Edit Wed'!E36:F36,1,1)</f>
        <v>1</v>
      </c>
    </row>
    <row r="37" spans="1:5">
      <c r="A37" s="112">
        <f>INDEX('Edit Wed'!A37:B37,1,1)</f>
        <v>46239</v>
      </c>
      <c r="B37" s="196" t="str">
        <f>INDEX('Edit Wed'!B37:C37,1,1)</f>
        <v>Setting one's face to do God's will</v>
      </c>
      <c r="C37" s="196">
        <f>INDEX('Edit Wed'!C37:D37,1,1)</f>
        <v>0</v>
      </c>
      <c r="D37" s="196" t="str">
        <f>INDEX('Edit Wed'!D37:E37,1,1)</f>
        <v>Ezekiel</v>
      </c>
      <c r="E37" s="196" t="str">
        <f>INDEX('Edit Wed'!E37:F37,1,1)</f>
        <v>2</v>
      </c>
    </row>
    <row r="38" spans="1:5">
      <c r="A38" s="112">
        <f>INDEX('Edit Wed'!A38:B38,1,1)</f>
        <v>46246</v>
      </c>
      <c r="B38" s="196" t="str">
        <f>INDEX('Edit Wed'!B38:C38,1,1)</f>
        <v>Having a listening ear</v>
      </c>
      <c r="C38" s="196" t="str">
        <f>INDEX('Edit Wed'!C38:D38,1,1)</f>
        <v>Gen 22:3,10-13; 1Ki 19:11-13; Isa 50:4,5; Mat 13:9, 15-17; Mar 4:24; Luk 8:18</v>
      </c>
      <c r="D38" s="196">
        <f>INDEX('Edit Wed'!D38:E38,1,1)</f>
        <v>0</v>
      </c>
      <c r="E38" s="196">
        <f>INDEX('Edit Wed'!E38:F38,1,1)</f>
        <v>0</v>
      </c>
    </row>
    <row r="39" spans="1:5">
      <c r="A39" s="112">
        <f>INDEX('Edit Wed'!A39:B39,1,1)</f>
        <v>46253</v>
      </c>
      <c r="B39" s="196" t="str">
        <f>INDEX('Edit Wed'!B39:C39,1,1)</f>
        <v>Truth brings conviction &amp; healing</v>
      </c>
      <c r="C39" s="196">
        <f>INDEX('Edit Wed'!C39:D39,1,1)</f>
        <v>0</v>
      </c>
      <c r="D39" s="196" t="str">
        <f>INDEX('Edit Wed'!D39:E39,1,1)</f>
        <v>Ezekiel</v>
      </c>
      <c r="E39" s="196" t="str">
        <f>INDEX('Edit Wed'!E39:F39,1,1)</f>
        <v>3</v>
      </c>
    </row>
    <row r="40" spans="1:5">
      <c r="A40" s="112">
        <f>INDEX('Edit Wed'!A40:B40,1,1)</f>
        <v>46260</v>
      </c>
      <c r="B40" s="196" t="str">
        <f>INDEX('Edit Wed'!B40:C40,1,1)</f>
        <v>Be watchful even after victory</v>
      </c>
      <c r="C40" s="196">
        <f>INDEX('Edit Wed'!C40:D40,1,1)</f>
        <v>0</v>
      </c>
      <c r="D40" s="196" t="str">
        <f>INDEX('Edit Wed'!D40:E40,1,1)</f>
        <v>Psalm</v>
      </c>
      <c r="E40" s="196" t="str">
        <f>INDEX('Edit Wed'!E40:F40,1,1)</f>
        <v>20 &amp; 21</v>
      </c>
    </row>
    <row r="41" spans="1:5">
      <c r="A41" s="112">
        <f>INDEX('Edit Wed'!A41:B41,1,1)</f>
        <v>46267</v>
      </c>
      <c r="B41" s="196" t="str">
        <f>INDEX('Edit Wed'!B41:C41,1,1)</f>
        <v>Good Shepherd dies for his sheep</v>
      </c>
      <c r="C41" s="196">
        <f>INDEX('Edit Wed'!C41:D41,1,1)</f>
        <v>0</v>
      </c>
      <c r="D41" s="196" t="str">
        <f>INDEX('Edit Wed'!D41:E41,1,1)</f>
        <v>Psalm</v>
      </c>
      <c r="E41" s="196" t="str">
        <f>INDEX('Edit Wed'!E41:F41,1,1)</f>
        <v>22</v>
      </c>
    </row>
    <row r="42" spans="1:5" ht="30">
      <c r="A42" s="112">
        <f>INDEX('Edit Wed'!A42:B42,1,1)</f>
        <v>46274</v>
      </c>
      <c r="B42" s="196" t="str">
        <f>INDEX('Edit Wed'!B42:C42,1,1)</f>
        <v>Great Shepherd cares for the sheep</v>
      </c>
      <c r="C42" s="196">
        <f>INDEX('Edit Wed'!C42:D42,1,1)</f>
        <v>0</v>
      </c>
      <c r="D42" s="196" t="str">
        <f>INDEX('Edit Wed'!D42:E42,1,1)</f>
        <v>Psalms</v>
      </c>
      <c r="E42" s="196" t="str">
        <f>INDEX('Edit Wed'!E42:F42,1,1)</f>
        <v>23</v>
      </c>
    </row>
    <row r="43" spans="1:5">
      <c r="A43" s="112">
        <f>INDEX('Edit Wed'!A43:B43,1,1)</f>
        <v>46281</v>
      </c>
      <c r="B43" s="196" t="str">
        <f>INDEX('Edit Wed'!B43:C43,1,1)</f>
        <v>Chief Shepherd comes in glory</v>
      </c>
      <c r="C43" s="196">
        <f>INDEX('Edit Wed'!C43:D43,1,1)</f>
        <v>0</v>
      </c>
      <c r="D43" s="196" t="str">
        <f>INDEX('Edit Wed'!D43:E43,1,1)</f>
        <v>Psalms</v>
      </c>
      <c r="E43" s="196" t="str">
        <f>INDEX('Edit Wed'!E43:F43,1,1)</f>
        <v>24</v>
      </c>
    </row>
    <row r="44" spans="1:5">
      <c r="A44" s="112">
        <f>INDEX('Edit Wed'!A44:B44,1,1)</f>
        <v>46288</v>
      </c>
      <c r="B44" s="196" t="str">
        <f>INDEX('Edit Wed'!B44:C44,1,1)</f>
        <v>People the Lord loves to guide</v>
      </c>
      <c r="C44" s="196">
        <f>INDEX('Edit Wed'!C44:D44,1,1)</f>
        <v>0</v>
      </c>
      <c r="D44" s="196" t="str">
        <f>INDEX('Edit Wed'!D44:E44,1,1)</f>
        <v>Psalms</v>
      </c>
      <c r="E44" s="196" t="str">
        <f>INDEX('Edit Wed'!E44:F44,1,1)</f>
        <v>25</v>
      </c>
    </row>
    <row r="45" spans="1:5" ht="38.15" customHeight="1">
      <c r="A45" s="112">
        <f>INDEX('Edit Wed'!A45:B45,1,1)</f>
        <v>46295</v>
      </c>
      <c r="B45" s="196" t="str">
        <f>INDEX('Edit Wed'!B45:C45,1,1)</f>
        <v>Handling malicious slander</v>
      </c>
      <c r="C45" s="196">
        <f>INDEX('Edit Wed'!C45:D45,1,1)</f>
        <v>0</v>
      </c>
      <c r="D45" s="196" t="str">
        <f>INDEX('Edit Wed'!D45:E45,1,1)</f>
        <v>Psalms</v>
      </c>
      <c r="E45" s="196" t="str">
        <f>INDEX('Edit Wed'!E45:F45,1,1)</f>
        <v>26</v>
      </c>
    </row>
    <row r="46" spans="1:5" ht="30">
      <c r="A46" s="112">
        <f>INDEX('Edit Wed'!A46:B46,1,1)</f>
        <v>46302</v>
      </c>
      <c r="B46" s="196" t="str">
        <f>INDEX('Edit Wed'!B46:C46,1,1)</f>
        <v>Love for God expressed in obedience</v>
      </c>
      <c r="C46" s="196">
        <f>INDEX('Edit Wed'!C46:D46,1,1)</f>
        <v>0</v>
      </c>
      <c r="D46" s="196" t="str">
        <f>INDEX('Edit Wed'!D46:E46,1,1)</f>
        <v>Ezekiel</v>
      </c>
      <c r="E46" s="196" t="str">
        <f>INDEX('Edit Wed'!E46:F46,1,1)</f>
        <v>33</v>
      </c>
    </row>
    <row r="47" spans="1:5">
      <c r="A47" s="112">
        <f>INDEX('Edit Wed'!A47:B47,1,1)</f>
        <v>46309</v>
      </c>
      <c r="B47" s="196" t="str">
        <f>INDEX('Edit Wed'!B47:C47,1,1)</f>
        <v>Highest calling</v>
      </c>
      <c r="C47" s="196" t="str">
        <f>INDEX('Edit Wed'!C47:D47,1,1)</f>
        <v>1Ki 19:19-21; Isa 6:8; Jer 1:4-10; Mar 6:7; Rom 1:1,7; 1Co 1:26-30; Rev 17:14</v>
      </c>
      <c r="D47" s="196">
        <f>INDEX('Edit Wed'!D47:E47,1,1)</f>
        <v>0</v>
      </c>
      <c r="E47" s="196">
        <f>INDEX('Edit Wed'!E47:F47,1,1)</f>
        <v>0</v>
      </c>
    </row>
    <row r="48" spans="1:5" ht="32.4" customHeight="1">
      <c r="A48" s="112">
        <f>INDEX('Edit Wed'!A48:B48,1,1)</f>
        <v>46316</v>
      </c>
      <c r="B48" s="196" t="str">
        <f>INDEX('Edit Wed'!B48:C48,1,1)</f>
        <v>All needs met in our Shepherd</v>
      </c>
      <c r="C48" s="196">
        <f>INDEX('Edit Wed'!C48:D48,1,1)</f>
        <v>0</v>
      </c>
      <c r="D48" s="196" t="str">
        <f>INDEX('Edit Wed'!D48:E48,1,1)</f>
        <v>Ezekiel</v>
      </c>
      <c r="E48" s="196" t="str">
        <f>INDEX('Edit Wed'!E48:F48,1,1)</f>
        <v>34</v>
      </c>
    </row>
    <row r="49" spans="1:5">
      <c r="A49" s="112">
        <f>INDEX('Edit Wed'!A49:B49,1,1)</f>
        <v>46323</v>
      </c>
      <c r="B49" s="196" t="str">
        <f>INDEX('Edit Wed'!B49:C49,1,1)</f>
        <v>God still resists the proud</v>
      </c>
      <c r="C49" s="196">
        <f>INDEX('Edit Wed'!C49:D49,1,1)</f>
        <v>0</v>
      </c>
      <c r="D49" s="196" t="str">
        <f>INDEX('Edit Wed'!D49:E49,1,1)</f>
        <v>Ezekiel</v>
      </c>
      <c r="E49" s="196" t="str">
        <f>INDEX('Edit Wed'!E49:F49,1,1)</f>
        <v>35</v>
      </c>
    </row>
    <row r="50" spans="1:5" ht="30">
      <c r="A50" s="112">
        <f>INDEX('Edit Wed'!A50:B50,1,1)</f>
        <v>46330</v>
      </c>
      <c r="B50" s="196" t="str">
        <f>INDEX('Edit Wed'!B50:C50,1,1)</f>
        <v>Our disappointment, often God's appointment</v>
      </c>
      <c r="C50" s="196" t="str">
        <f>INDEX('Edit Wed'!C50:D50,1,1)</f>
        <v>Gen 17:18-19; 48:8-20; Act 16:6-10, 23-34; 2Co 12:7-10; Heb 11:17-19,39-40</v>
      </c>
      <c r="D50" s="196">
        <f>INDEX('Edit Wed'!D50:E50,1,1)</f>
        <v>0</v>
      </c>
      <c r="E50" s="196">
        <f>INDEX('Edit Wed'!E50:F50,1,1)</f>
        <v>0</v>
      </c>
    </row>
    <row r="51" spans="1:5" ht="32.4" customHeight="1">
      <c r="A51" s="112">
        <f>INDEX('Edit Wed'!A51:B51,1,1)</f>
        <v>46337</v>
      </c>
      <c r="B51" s="196" t="str">
        <f>INDEX('Edit Wed'!B51:C51,1,1)</f>
        <v>From desolation to delight</v>
      </c>
      <c r="C51" s="196">
        <f>INDEX('Edit Wed'!C51:D51,1,1)</f>
        <v>0</v>
      </c>
      <c r="D51" s="196" t="str">
        <f>INDEX('Edit Wed'!D51:E51,1,1)</f>
        <v>Ezekiel</v>
      </c>
      <c r="E51" s="196" t="str">
        <f>INDEX('Edit Wed'!E51:F51,1,1)</f>
        <v>36</v>
      </c>
    </row>
    <row r="52" spans="1:5" ht="30">
      <c r="A52" s="112">
        <f>INDEX('Edit Wed'!A52:B52,1,1)</f>
        <v>46344</v>
      </c>
      <c r="B52" s="196" t="str">
        <f>INDEX('Edit Wed'!B52:C52,1,1)</f>
        <v>Life-giving power of the Word and Spirit</v>
      </c>
      <c r="C52" s="196">
        <f>INDEX('Edit Wed'!C52:D52,1,1)</f>
        <v>0</v>
      </c>
      <c r="D52" s="196" t="str">
        <f>INDEX('Edit Wed'!D52:E52,1,1)</f>
        <v>Ezekiel</v>
      </c>
      <c r="E52" s="196" t="str">
        <f>INDEX('Edit Wed'!E52:F52,1,1)</f>
        <v>37</v>
      </c>
    </row>
    <row r="53" spans="1:5" ht="30">
      <c r="A53" s="112">
        <f>INDEX('Edit Wed'!A53:B53,1,1)</f>
        <v>46351</v>
      </c>
      <c r="B53" s="196" t="str">
        <f>INDEX('Edit Wed'!B53:C53,1,1)</f>
        <v>Redeeming Time</v>
      </c>
      <c r="C53" s="196" t="str">
        <f>INDEX('Edit Wed'!C53:D53,1,1)</f>
        <v>Ps 39:4-6; 90:9-12; 95:7-9; Ecc 9:10;  Isa 55:6; Rom 13:11; 2Co 6:2; Eph 5:15-16</v>
      </c>
      <c r="D53" s="196">
        <f>INDEX('Edit Wed'!D53:E53,1,1)</f>
        <v>0</v>
      </c>
      <c r="E53" s="196">
        <f>INDEX('Edit Wed'!E53:F53,1,1)</f>
        <v>0</v>
      </c>
    </row>
    <row r="54" spans="1:5" ht="30">
      <c r="A54" s="112">
        <f>INDEX('Edit Wed'!A54:B54,1,1)</f>
        <v>46358</v>
      </c>
      <c r="B54" s="196" t="str">
        <f>INDEX('Edit Wed'!B54:C54,1,1)</f>
        <v>Every enemy defeated; every sin forgiven</v>
      </c>
      <c r="C54" s="196">
        <f>INDEX('Edit Wed'!C54:D54,1,1)</f>
        <v>0</v>
      </c>
      <c r="D54" s="196" t="str">
        <f>INDEX('Edit Wed'!D54:E54,1,1)</f>
        <v>Ezekiel</v>
      </c>
      <c r="E54" s="196" t="str">
        <f>INDEX('Edit Wed'!E54:F54,1,1)</f>
        <v>38 - 39</v>
      </c>
    </row>
    <row r="55" spans="1:5" ht="30">
      <c r="A55" s="112">
        <f>INDEX('Edit Wed'!A55:B55,1,1)</f>
        <v>46365</v>
      </c>
      <c r="B55" s="196" t="str">
        <f>INDEX('Edit Wed'!B55:C55,1,1)</f>
        <v>Water of Life flows progressively deeper</v>
      </c>
      <c r="C55" s="196">
        <f>INDEX('Edit Wed'!C55:D55,1,1)</f>
        <v>0</v>
      </c>
      <c r="D55" s="196" t="str">
        <f>INDEX('Edit Wed'!D55:E55,1,1)</f>
        <v>Ezekiel</v>
      </c>
      <c r="E55" s="196" t="str">
        <f>INDEX('Edit Wed'!E55:F55,1,1)</f>
        <v>47</v>
      </c>
    </row>
    <row r="56" spans="1:5" ht="30">
      <c r="A56" s="112">
        <f>INDEX('Edit Wed'!A56:B56,1,1)</f>
        <v>46372</v>
      </c>
      <c r="B56" s="196" t="str">
        <f>INDEX('Edit Wed'!B56:C56,1,1)</f>
        <v>God is greater than circumstances &amp; foes</v>
      </c>
      <c r="C56" s="196">
        <f>INDEX('Edit Wed'!C56:D56,1,1)</f>
        <v>0</v>
      </c>
      <c r="D56" s="196" t="str">
        <f>INDEX('Edit Wed'!D56:E56,1,1)</f>
        <v>Psalm</v>
      </c>
      <c r="E56" s="196" t="str">
        <f>INDEX('Edit Wed'!E56:F56,1,1)</f>
        <v>27 - 28</v>
      </c>
    </row>
    <row r="57" spans="1:5" ht="30">
      <c r="A57" s="112">
        <f>INDEX('Edit Wed'!A57:B57,1,1)</f>
        <v>46379</v>
      </c>
      <c r="B57" s="196" t="str">
        <f>INDEX('Edit Wed'!B57:C57,1,1)</f>
        <v>Answered prayer gives a new song</v>
      </c>
      <c r="C57" s="196">
        <f>INDEX('Edit Wed'!C57:D57,1,1)</f>
        <v>0</v>
      </c>
      <c r="D57" s="196" t="str">
        <f>INDEX('Edit Wed'!D57:E57,1,1)</f>
        <v>Psalm</v>
      </c>
      <c r="E57" s="196" t="str">
        <f>INDEX('Edit Wed'!E57:F57,1,1)</f>
        <v>29 - 30</v>
      </c>
    </row>
    <row r="58" spans="1:5" ht="30">
      <c r="A58" s="112">
        <f>INDEX('Edit Wed'!A58:B58,1,1)</f>
        <v>46386</v>
      </c>
      <c r="B58" s="196" t="str">
        <f>INDEX('Edit Wed'!B58:C58,1,1)</f>
        <v>My way is wrong, God's way is right</v>
      </c>
      <c r="C58" s="196">
        <f>INDEX('Edit Wed'!C58:D58,1,1)</f>
        <v>0</v>
      </c>
      <c r="D58" s="196" t="str">
        <f>INDEX('Edit Wed'!D58:E58,1,1)</f>
        <v>Psalm</v>
      </c>
      <c r="E58" s="196" t="str">
        <f>INDEX('Edit Wed'!E58:F58,1,1)</f>
        <v>31 - 32</v>
      </c>
    </row>
    <row r="59" spans="1:5">
      <c r="A59" s="112" t="e">
        <f>INDEX('Edit Wed'!#REF!,1,1)</f>
        <v>#REF!</v>
      </c>
      <c r="B59" s="196" t="e">
        <f>INDEX('Edit Wed'!#REF!,1,1)</f>
        <v>#REF!</v>
      </c>
      <c r="C59" s="196" t="e">
        <f>INDEX('Edit Wed'!#REF!,1,1)</f>
        <v>#REF!</v>
      </c>
      <c r="D59" s="196" t="e">
        <f>INDEX('Edit Wed'!#REF!,1,1)</f>
        <v>#REF!</v>
      </c>
      <c r="E59" s="196" t="e">
        <f>INDEX('Edit Wed'!#REF!,1,1)</f>
        <v>#REF!</v>
      </c>
    </row>
    <row r="60" spans="1:5">
      <c r="A60" s="112" t="e">
        <f>INDEX('Edit Wed'!#REF!,1,1)</f>
        <v>#REF!</v>
      </c>
      <c r="B60" s="196" t="e">
        <f>INDEX('Edit Wed'!#REF!,1,1)</f>
        <v>#REF!</v>
      </c>
      <c r="C60" s="196" t="e">
        <f>INDEX('Edit Wed'!#REF!,1,1)</f>
        <v>#REF!</v>
      </c>
      <c r="D60" s="196" t="e">
        <f>INDEX('Edit Wed'!#REF!,1,1)</f>
        <v>#REF!</v>
      </c>
      <c r="E60" s="196" t="e">
        <f>INDEX('Edit Wed'!#REF!,1,1)</f>
        <v>#REF!</v>
      </c>
    </row>
    <row r="61" spans="1:5">
      <c r="B61" s="85"/>
      <c r="C61" s="103"/>
      <c r="D61" s="65"/>
      <c r="E61" s="103"/>
    </row>
    <row r="62" spans="1:5" ht="15.5">
      <c r="B62" s="153"/>
      <c r="C62" s="103"/>
      <c r="D62" s="67"/>
      <c r="E62" s="103"/>
    </row>
    <row r="63" spans="1:5" ht="41.4" customHeight="1">
      <c r="B63" s="85"/>
      <c r="C63" s="103"/>
      <c r="D63" s="67"/>
      <c r="E63" s="103"/>
    </row>
    <row r="64" spans="1:5" ht="41.4" customHeight="1">
      <c r="B64" s="85"/>
      <c r="C64" s="103"/>
      <c r="D64" s="65"/>
      <c r="E64" s="103"/>
    </row>
    <row r="65" spans="2:5" ht="41.4" customHeight="1">
      <c r="B65" s="153"/>
      <c r="C65" s="103"/>
      <c r="D65" s="67"/>
      <c r="E65" s="103"/>
    </row>
    <row r="66" spans="2:5" ht="15.5">
      <c r="B66" s="85"/>
      <c r="C66" s="103"/>
      <c r="D66" s="67"/>
      <c r="E66" s="103"/>
    </row>
    <row r="67" spans="2:5">
      <c r="B67" s="85"/>
      <c r="C67" s="103"/>
      <c r="D67" s="65"/>
      <c r="E67" s="103"/>
    </row>
    <row r="68" spans="2:5" ht="15.5">
      <c r="B68" s="153"/>
      <c r="C68" s="103"/>
      <c r="D68" s="67"/>
      <c r="E68" s="103"/>
    </row>
    <row r="69" spans="2:5">
      <c r="B69" s="85"/>
      <c r="C69" s="103"/>
      <c r="D69" s="65"/>
      <c r="E69" s="103"/>
    </row>
    <row r="70" spans="2:5">
      <c r="B70" s="85"/>
      <c r="C70" s="103"/>
      <c r="D70" s="65"/>
      <c r="E70" s="103"/>
    </row>
    <row r="71" spans="2:5">
      <c r="B71" s="85"/>
      <c r="C71" s="103"/>
      <c r="D71" s="65"/>
      <c r="E71" s="103"/>
    </row>
    <row r="72" spans="2:5">
      <c r="B72" s="85"/>
      <c r="C72" s="103"/>
      <c r="D72" s="65"/>
      <c r="E72" s="103"/>
    </row>
    <row r="73" spans="2:5">
      <c r="B73" s="85"/>
      <c r="C73" s="103"/>
      <c r="D73" s="65"/>
      <c r="E73" s="103"/>
    </row>
    <row r="74" spans="2:5">
      <c r="B74" s="85"/>
      <c r="C74" s="103"/>
      <c r="D74" s="65"/>
      <c r="E74" s="103"/>
    </row>
    <row r="75" spans="2:5">
      <c r="B75" s="85"/>
      <c r="C75" s="103"/>
      <c r="D75" s="65"/>
      <c r="E75" s="103"/>
    </row>
    <row r="76" spans="2:5">
      <c r="B76" s="85"/>
      <c r="C76" s="103"/>
      <c r="D76" s="65"/>
      <c r="E76" s="103"/>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sheetPr codeName="Sheet8"/>
  <dimension ref="A1:A148"/>
  <sheetViews>
    <sheetView zoomScale="80" zoomScaleNormal="80" workbookViewId="0">
      <selection activeCell="A7" sqref="A7"/>
    </sheetView>
  </sheetViews>
  <sheetFormatPr defaultColWidth="9.08984375" defaultRowHeight="15"/>
  <cols>
    <col min="1" max="1" width="10.1796875" style="15" bestFit="1" customWidth="1"/>
    <col min="2" max="16384" width="9.08984375" style="15"/>
  </cols>
  <sheetData>
    <row r="1" spans="1:1">
      <c r="A1" s="15" t="s">
        <v>92</v>
      </c>
    </row>
    <row r="2" spans="1:1">
      <c r="A2" s="15" t="s">
        <v>188</v>
      </c>
    </row>
    <row r="3" spans="1:1">
      <c r="A3" s="15" t="str">
        <f>IF('Edit Translations'!B19=1,"\WaterMark","")</f>
        <v/>
      </c>
    </row>
    <row r="4" spans="1:1">
      <c r="A4" s="15" t="str">
        <f>CONCATENATE("\SunAColWidths","{}{}{}{",TextSampleBoldSettings(8),"}")</f>
        <v>\SunAColWidths{}{}{}{Who/What\ to\ Pray\ for\ \textendash \textendash \ Wie/Waarvoor\ om\ te\ Bid..nlddddd}</v>
      </c>
    </row>
    <row r="5" spans="1:1">
      <c r="A5" s="15" t="str">
        <f>CONCATENATE("\SunBColWidths","{}{}{}{",TextSampleBoldSettings(9),"}")</f>
        <v>\SunBColWidths{}{}{}{Who/What\ to\ Pray\ for\ \textendash \ Wie/Waarvoor\ om\ te\ Bidxx}</v>
      </c>
    </row>
    <row r="6" spans="1:1">
      <c r="A6" s="15" t="str">
        <f>CONCATENATE("%\SunAColWidths","{}{}{}{",TextSampleB(8),"}")</f>
        <v>%\SunAColWidths{}{}{}{Being\ Committed\ (not\ merely\ involved)xxxxxxxffffddd}</v>
      </c>
    </row>
    <row r="7" spans="1:1">
      <c r="A7" s="15" t="str">
        <f>CONCATENATE("%\SunBColWidths","{}{}{}{",TextSampleB(9),"}")</f>
        <v>%\SunBColWidths{}{}{}{Being\ Committed\ (not\ merely\ involved)xxxxxxxf}</v>
      </c>
    </row>
    <row r="8" spans="1:1">
      <c r="A8" s="15" t="str">
        <f>CONCATENATE("\WedAColWidths","{}{}{}{}{",TextSampleBoldSettings(6),"}")</f>
        <v>\WedAColWidths{}{}{}{}{Going\ from\ Strength\ to\ Strength\ \textbackslash\ \ Ukutwalilila\ mumaka\ nakulxxddddddd}</v>
      </c>
    </row>
    <row r="9" spans="1:1">
      <c r="A9" s="15" t="str">
        <f>CONCATENATE("\WedBColWidths","{}{}{}{}{",TextSampleBoldSettings(7),"}")</f>
        <v>\WedBColWidths{}{}{}{}{Going\ from\ Strength\ to\ Strength\ \textbackslash\ \ Ukutwalilila\ mumaka\ nakulxxddddd}</v>
      </c>
    </row>
    <row r="10" spans="1:1">
      <c r="A10" s="15" t="str">
        <f>CONCATENATE("%\WedAColWidths","{}{}{}{}{",TextSampleB(6),"}")</f>
        <v>%\WedAColWidths{}{}{}{}{Being\ Committed\ (not\ merely\ involved)xxxxxxxccccddd}</v>
      </c>
    </row>
    <row r="11" spans="1:1">
      <c r="A11" s="15" t="str">
        <f>CONCATENATE("%\WedBColWidths","{}{}{}{}{",TextSampleB(7),"}")</f>
        <v>%\WedBColWidths{}{}{}{}{Being\ Committed\ (not\ merely\ involved)xxxxxxxdd}</v>
      </c>
    </row>
    <row r="12" spans="1:1">
      <c r="A12" s="15" t="s">
        <v>199</v>
      </c>
    </row>
    <row r="13" spans="1:1">
      <c r="A13" s="15" t="str">
        <f>CONCATENATE("\SunListH{",PrepareBoldLatexText(CONCATENATE(LookupTransA(3)," ",'Edit Translations'!B$12)),"}")</f>
        <v>\SunListH{Estudos\ B\'iblicos\ \bnf{2026}}</v>
      </c>
    </row>
    <row r="14" spans="1:1">
      <c r="A14" s="15" t="str">
        <f>CONCATENATE("\SunListSubH{",LookupTransA(2),IF(LEN(LookupTransB(2))&lt;=0,"",CONCATENATE(" / ",LookupTransB(2))),"}")</f>
        <v>\SunListSubH{Domingo / Sunday}</v>
      </c>
    </row>
    <row r="15" spans="1:1">
      <c r="A15" s="15" t="str">
        <f>IF(ISNUMBER(FixSun!A4),'Preview Sun'!Z4,"")</f>
        <v>\SunChapter{\nf{4}}{Jan}{Judas}{\nf{1}}</v>
      </c>
    </row>
    <row r="16" spans="1:1">
      <c r="A16" s="15" t="str">
        <f>IF(ISNUMBER(FixSun!A5),'Preview Sun'!Z5,"")</f>
        <v>\SunChapter{\nf{11}}{Jan}{Apocolipse}{\nf{1}}</v>
      </c>
    </row>
    <row r="17" spans="1:1">
      <c r="A17" s="15" t="str">
        <f>IF(ISNUMBER(FixSun!A6),'Preview Sun'!Z6,"")</f>
        <v>\SunChapter{\nf{18}}{Jan}{Revelation}{\nf{2}}</v>
      </c>
    </row>
    <row r="18" spans="1:1">
      <c r="A18" s="15" t="str">
        <f>IF(ISNUMBER(FixSun!A7),'Preview Sun'!Z7,"")</f>
        <v>\SunChapter{\nf{25}}{Jan}{Apocolipse}{\nf{3}}</v>
      </c>
    </row>
    <row r="19" spans="1:1">
      <c r="A19" s="15" t="str">
        <f>IF(ISNUMBER(FixSun!A8),'Preview Sun'!Z8,"")</f>
        <v>\SunTopic{\nf{1}}{Fev}{O\ efeito\ da\ prosperidade\ e\ da\ adversidade}{Effect\ of\ prosperity\ \&amp;\ adversity}{Deu~\nf{8}:\nf{11}\nobreakrefrange \nf{20};\ Job~\nf{1}:\nf{1}\nobreakrefrange \nf{3},\nf{14}\nobreakrefrange \nf{22};\ Pro~\nf{30}:\nf{8},\nf{9};\ Ecl~\nf{2}:\nf{18}\nobreakrefrange \nf{23};\ \nf{9}:\nf{11};\ Luc~\nf{12}:\nf{16}\nobreakrefrange \nf{21}}</v>
      </c>
    </row>
    <row r="20" spans="1:1">
      <c r="A20" s="15" t="str">
        <f>IF(ISNUMBER(FixSun!A9),'Preview Sun'!Z9,"")</f>
        <v>\SunChapter{\nf{8}}{Feb}{Apocolipse}{\nf{4}}</v>
      </c>
    </row>
    <row r="21" spans="1:1">
      <c r="A21" s="15" t="str">
        <f>IF(ISNUMBER(FixSun!A10),'Preview Sun'!Z10,"")</f>
        <v>\SunChapter{\nf{15}}{Fev}{Revelation}{\nf{5}}</v>
      </c>
    </row>
    <row r="22" spans="1:1">
      <c r="A22" s="15" t="str">
        <f>IF(ISNUMBER(FixSun!A11),'Preview Sun'!Z11,"")</f>
        <v>\SunTopic{\nf{22}}{Feb}{Os\ insond\'aveis\ caminhos\ de\ Deus}{God's\ ways\ past\ finding\ out}{\^Exo~\nf{20}:\nf{21};\ \nf{33}:\nf{20};\ Deu~\nf{5}:\nf{22};\ Job~\nf{26}:\nf{14};\ \nf{33}:\nf{13};\ Isa~\nf{55}:\nf{9};\ Rom~\nf{11}:\nf{33};\ \nf{1}Tim~\nf{6}:\nf{15}\nobreakrefrange \nf{16}}</v>
      </c>
    </row>
    <row r="23" spans="1:1">
      <c r="A23" s="15" t="str">
        <f>IF(ISNUMBER(FixSun!A12),'Preview Sun'!Z12,"")</f>
        <v>\SunChapter{\nf{1}}{Mar}{Apocolipse}{\nf{6}}</v>
      </c>
    </row>
    <row r="24" spans="1:1">
      <c r="A24" s="15" t="str">
        <f>IF(ISNUMBER(FixSun!A13),'Preview Sun'!Z13,"")</f>
        <v>\SunChapter{\nf{8}}{Mar}{Revelation}{\nf{7}}</v>
      </c>
    </row>
    <row r="25" spans="1:1">
      <c r="A25" s="15" t="str">
        <f>IF(ISNUMBER(FixSun!A14),'Preview Sun'!Z14,"")</f>
        <v>\SunTopic{\nf{15}}{Mar}{O\ gozo\ da\ salva\c{c}\~ao}{Joy\ of\ Salvation}{\nf{1}Sa~\nf{2}:\nf{1}\nobreakrefrange \nf{9};\ Sal~\nf{16}:\nf{11};\ Mat~\nf{5}:\nf{11},\nf{12};\ Jo\~ao~\nf{16}:\nf{33};\ Ato~\nf{5}:\nf{41},\nf{42};\ \nf{1}Ped~\nf{1}:\nf{6}\nobreakrefrange \nf{9}}</v>
      </c>
    </row>
    <row r="26" spans="1:1">
      <c r="A26" s="15" t="str">
        <f>IF(ISNUMBER(FixSun!A15),'Preview Sun'!Z15,"")</f>
        <v>\SunChapter{\nf{22}}{Mar}{Apocolipse}{\nf{8}}</v>
      </c>
    </row>
    <row r="27" spans="1:1">
      <c r="A27" s="15" t="str">
        <f>IF(ISNUMBER(FixSun!A16),'Preview Sun'!Z16,"")</f>
        <v>\SunChapter{\nf{29}}{Mar}{Revelation}{\nf{9}}</v>
      </c>
    </row>
    <row r="28" spans="1:1">
      <c r="A28" s="15" t="str">
        <f>IF(ISNUMBER(FixSun!A17),'Preview Sun'!Z17,"")</f>
        <v>\SunTopic{\nf{5}}{Abr}{N\~ao\ h\'a\ fuga}{No\ way\ of\ escape}{\^Exo~\nf{14}:\nf{23}\nobreakrefrange \nf{28};\ Num~\nf{22}:\nf{32};\ Jos~\nf{13}:\nf{22};\ Luc~\nf{16}:\nf{24}\nobreakrefrange \nf{29};\ Heb~\nf{2}:\nf{1}\nobreakrefrange \nf{4};\ \nf{10}:\nf{24}\nobreakrefrange \nf{31};\ \nf{12}:\nf{17};\ \nf{2}Ped~\nf{2}:\nf{4}\nobreakrefrange \nf{6}}</v>
      </c>
    </row>
    <row r="29" spans="1:1">
      <c r="A29" s="15" t="str">
        <f>IF(ISNUMBER(FixSun!A18),'Preview Sun'!Z18,"")</f>
        <v>\SunChapter{\nf{12}}{Apr}{Apocolipse}{\nf{10}}</v>
      </c>
    </row>
    <row r="30" spans="1:1">
      <c r="A30" s="15" t="str">
        <f>IF(ISNUMBER(FixSun!A19),'Preview Sun'!Z19,"")</f>
        <v>\SunChapter{\nf{19}}{Abr}{Revelation}{\nf{11}}</v>
      </c>
    </row>
    <row r="31" spans="1:1">
      <c r="A31" s="15" t="str">
        <f>IF(ISNUMBER(FixSun!A20),'Preview Sun'!Z20,"")</f>
        <v>\SunTopic{\nf{26}}{Apr}{Os\ privil\'egios\ especiais\ que\ desfrutamos}{Special\ privileges\ we\ enjoy}{Mat~\nf{13}:\nf{10}\nobreakrefrange \nf{12};\ Luc~\nf{10}:\nf{21}\nobreakrefrange \nf{24};\ Jo\~ao~\nf{14}:\nf{16}\nobreakrefrange \nf{18};\ Rom~\nf{5}:\nf{1}\nobreakrefrange \nf{6};\ \nf{1}Cor~\nf{2}:\nf{9}\nobreakrefrange \nf{12};\ \nf{1}Jo~\nf{2}:\nf{18}\nobreakrefrange \nf{21};\ \nf{3}:\nf{1}\nobreakrefrange \nf{2}}</v>
      </c>
    </row>
    <row r="32" spans="1:1">
      <c r="A32" s="15" t="str">
        <f>IF(ISNUMBER(FixSun!A21),'Preview Sun'!Z21,"")</f>
        <v>\SunChapter{\nf{3}}{Mai}{Apocolipse}{\nf{12}}</v>
      </c>
    </row>
    <row r="33" spans="1:1">
      <c r="A33" s="15" t="str">
        <f>IF(ISNUMBER(FixSun!A22),'Preview Sun'!Z22,"")</f>
        <v>\SunChapter{\nf{10}}{May}{Revelation}{\nf{13}}</v>
      </c>
    </row>
    <row r="34" spans="1:1">
      <c r="A34" s="15" t="str">
        <f>IF(ISNUMBER(FixSun!A23),'Preview Sun'!Z23,"")</f>
        <v>\SunTopic{\nf{17}}{Mai}{Exemplos\ convincentes}{Convincing\ Examples}{Rth~\nf{1}:\nf{15}\nobreakrefrange \nf{18};\ \nf{2}Rs~\nf{2}:\nf{9},\nf{10};\ \nf{5}:\nf{1}\nobreakrefrange \nf{4};\ Mat~\nf{5}:\nf{13}\nobreakrefrange \nf{16};\ Luc~\nf{22}:\nf{10};\ Jo\~ao~\nf{12}:\nf{3};\ \nf{2}Cor~\nf{2}:\nf{14}\nobreakrefrange \nf{16};\ Heb~\nf{12}:\nf{1},\nf{2}}</v>
      </c>
    </row>
    <row r="35" spans="1:1">
      <c r="A35" s="15" t="str">
        <f>IF(ISNUMBER(FixSun!A24),'Preview Sun'!Z24,"")</f>
        <v>\SunChapter{\nf{24}}{May}{Apocolipse}{\nf{14}}</v>
      </c>
    </row>
    <row r="36" spans="1:1">
      <c r="A36" s="15" t="str">
        <f>IF(ISNUMBER(FixSun!A25),'Preview Sun'!Z25,"")</f>
        <v>\SunChapter{\nf{31}}{Mai}{Revelation}{\nf{15}}</v>
      </c>
    </row>
    <row r="37" spans="1:1">
      <c r="A37" s="15" t="str">
        <f>IF(ISNUMBER(FixSun!A26),'Preview Sun'!Z26,"")</f>
        <v>\SunTopic{\nf{7}}{Jun}{\`As\ respostas\ de\ Jesus}{Jesus'\ responses}{Mat~\nf{16}:\nf{21}\nobreakrefrange \nf{23};\ \nf{18}:\nf{21}\nobreakrefrange \nf{35};\ \nf{19}:\nf{13}\nobreakrefrange \nf{15};\ \nf{26}:\nf{8}\nobreakrefrange \nf{10};\ Mar~\nf{9}:\nf{33}\nobreakrefrange \nf{37};\ Luc~\nf{19}:\nf{37}\nobreakrefrange \nf{44};\ Jo\~ao~\nf{6}:\nf{15};\ \nf{18}:\nf{10}\nobreakrefrange \nf{11}}</v>
      </c>
    </row>
    <row r="38" spans="1:1">
      <c r="A38" s="15" t="str">
        <f>IF(ISNUMBER(FixSun!A27),'Preview Sun'!Z27,"")</f>
        <v>\SunChapter{\nf{14}}{Jun}{Apocolipse}{\nf{16}}</v>
      </c>
    </row>
    <row r="39" spans="1:1">
      <c r="A39" s="15" t="str">
        <f>IF(ISNUMBER(FixSun!A28),'Preview Sun'!Z28,"")</f>
        <v>\SunChapter{\nf{21}}{Jun}{Revelation}{\nf{17}}</v>
      </c>
    </row>
    <row r="40" spans="1:1">
      <c r="A40" s="15" t="str">
        <f>IF(ISNUMBER(FixSun!A29),'Preview Sun'!Z29,"")</f>
        <v>\SunTopic{\nf{28}}{Jun}{Cristo\ abnegou\textendash se\ por\ amor}{Christ's\ self\textendash sacrificing\ love}{Luc~\nf{19}:\nf{10};\ \nf{22}:\nf{27};\ Jo\~ao~\nf{3}:\nf{13}\nobreakrefrange \nf{16};\ \nf{6}:\nf{51}\nobreakrefrange \nf{58};\ \nf{13}:\nf{1}\nobreakrefrange \nf{5};\ \nf{15}:\nf{13};\ \nf{17}:\nf{6}\nobreakrefrange \nf{10};\ Flp~\nf{2}:\nf{5}\nobreakrefrange \nf{8};\ Heb~\nf{2}:\nf{9}\nobreakrefrange \nf{10}}</v>
      </c>
    </row>
    <row r="41" spans="1:1">
      <c r="A41" s="15" t="str">
        <f>IF(ISNUMBER(FixSun!A30),'Preview Sun'!Z30,"")</f>
        <v/>
      </c>
    </row>
    <row r="42" spans="1:1">
      <c r="A42" s="15" t="s">
        <v>187</v>
      </c>
    </row>
    <row r="43" spans="1:1">
      <c r="A43" s="15" t="s">
        <v>255</v>
      </c>
    </row>
    <row r="44" spans="1:1">
      <c r="A44" s="15" t="str">
        <f>CONCATENATE("\SunListH{",PrepareBoldLatexText(CONCATENATE(IF(LEN(LookupTransB(3))&gt;0, LookupTransB(3), LookupTransA(3))," ",'Edit Translations'!B$12)),"}")</f>
        <v>\SunListH{Bible\ Readings\ \bnf{2026}}</v>
      </c>
    </row>
    <row r="45" spans="1:1">
      <c r="A45" s="15" t="str">
        <f>CONCATENATE("\SunListSubH{",LookupTransA(2),IF(LEN(LookupTransB(2))&lt;=0,"",CONCATENATE(" / ",LookupTransB(2))),"}")</f>
        <v>\SunListSubH{Domingo / Sunday}</v>
      </c>
    </row>
    <row r="46" spans="1:1">
      <c r="A46" s="15" t="str">
        <f>IF(ISNUMBER(FixSun!A34),'Preview Sun'!Z34,"")</f>
        <v>\SunChapter{\nf{5}}{Jul}{Apocolipse}{\nf{18}}</v>
      </c>
    </row>
    <row r="47" spans="1:1">
      <c r="A47" s="15" t="str">
        <f>IF(ISNUMBER(FixSun!A35),'Preview Sun'!Z35,"")</f>
        <v>\SunChapter{\nf{12}}{Jul}{Revelation}{\nf{19}}</v>
      </c>
    </row>
    <row r="48" spans="1:1">
      <c r="A48" s="15" t="str">
        <f>IF(ISNUMBER(FixSun!A36),'Preview Sun'!Z36,"")</f>
        <v>\SunTopic{\nf{19}}{Jul}{Firmeza\ na\ incerteza}{Stability\ in\ unsettling\ times}{Job~\nf{34}:\nf{29};\ Jo\~ao~\nf{14}:\nf{1},\nf{27};\ \nf{16}:\nf{20}\nobreakrefrange \nf{22},~\nf{33};\ Rom~\nf{8}:\nf{38},\nf{39};\ \nf{1}Cor~\nf{15}:\nf{58};\ Ef\'e~\nf{3}:\nf{16}\nobreakrefrange \nf{21};\ Flp~\nf{4}:\nf{7},\nf{8};\ \nf{1}Ped \nf{5}:\nf{10}}</v>
      </c>
    </row>
    <row r="49" spans="1:1">
      <c r="A49" s="15" t="str">
        <f>IF(ISNUMBER(FixSun!A37),'Preview Sun'!Z37,"")</f>
        <v>\SunChapter{\nf{26}}{Jul}{Apocolipse}{\nf{20}}</v>
      </c>
    </row>
    <row r="50" spans="1:1">
      <c r="A50" s="15" t="str">
        <f>IF(ISNUMBER(FixSun!A38),'Preview Sun'!Z38,"")</f>
        <v>\SunChapter{\nf{2}}{Ago}{Revelation}{\nf{21}}</v>
      </c>
    </row>
    <row r="51" spans="1:1">
      <c r="A51" s="15" t="str">
        <f>IF(ISNUMBER(FixSun!A39),'Preview Sun'!Z39,"")</f>
        <v>\SunChapter{\nf{9}}{Aug}{Apocolipse}{\nf{22}}</v>
      </c>
    </row>
    <row r="52" spans="1:1">
      <c r="A52" s="15" t="str">
        <f>IF(ISNUMBER(FixSun!A40),'Preview Sun'!Z40,"")</f>
        <v>\SunChapter{\nf{16}}{Ago}{Mateus}{\nf{1}\ \&amp;\ \nf{2}}</v>
      </c>
    </row>
    <row r="53" spans="1:1">
      <c r="A53" s="15" t="str">
        <f>IF(ISNUMBER(FixSun!A41),'Preview Sun'!Z41,"")</f>
        <v>\SunChapter{\nf{23}}{Aug}{Matthew}{\nf{3}}</v>
      </c>
    </row>
    <row r="54" spans="1:1">
      <c r="A54" s="15" t="str">
        <f>IF(ISNUMBER(FixSun!A42),'Preview Sun'!Z42,"")</f>
        <v>\SunChapter{\nf{30}}{Ago}{Mateus}{\nf{4}}</v>
      </c>
    </row>
    <row r="55" spans="1:1">
      <c r="A55" s="15" t="str">
        <f>IF(ISNUMBER(FixSun!A43),'Preview Sun'!Z43,"")</f>
        <v>\SunChapter{\nf{6}}{Sept}{Matthew}{\nf{5}}</v>
      </c>
    </row>
    <row r="56" spans="1:1">
      <c r="A56" s="15" t="str">
        <f>IF(ISNUMBER(FixSun!A44),'Preview Sun'!Z44,"")</f>
        <v>\SunChapter{\nf{13}}{Sept}{Mateus}{\nf{6}}</v>
      </c>
    </row>
    <row r="57" spans="1:1">
      <c r="A57" s="15" t="str">
        <f>IF(ISNUMBER(FixSun!A45),'Preview Sun'!Z45,"")</f>
        <v>\SunTopic{\nf{20}}{Sept}{As\ lutas\ di\'arias}{Daily\ struggles}{Isa~\nf{28}:\nf{6};\ Mar~\nf{6}:\nf{48};\ Luc~\nf{9}:\nf{23};\ \nf{13}:\nf{24};\ Flp~\nf{1}:\nf{27};\ \nf{1}Tim~\nf{6}:\nf{11}\nobreakrefrange \nf{12};\ \nf{2}Tim~\nf{3}:\nf{1}\nobreakrefrange \nf{5};\ Heb~\nf{12}:\nf{4}
}</v>
      </c>
    </row>
    <row r="58" spans="1:1">
      <c r="A58" s="15" t="str">
        <f>IF(ISNUMBER(FixSun!A46),'Preview Sun'!Z46,"")</f>
        <v>\SunChapter{\nf{27}}{Sept}{Mateus}{\nf{7}}</v>
      </c>
    </row>
    <row r="59" spans="1:1">
      <c r="A59" s="15" t="str">
        <f>IF(ISNUMBER(FixSun!A47),'Preview Sun'!Z47,"")</f>
        <v>\SunChapter{\nf{4}}{Out}{Matthew}{\nf{8}}</v>
      </c>
    </row>
    <row r="60" spans="1:1">
      <c r="A60" s="15" t="str">
        <f>IF(ISNUMBER(FixSun!A48),'Preview Sun'!Z48,"")</f>
        <v>\SunTopic{\nf{11}}{Oct}{A\ vida\ abundante}{Abundant\ Life}{Sal~\nf{36}:\nf{8}\nobreakrefrange \nf{10};\ Jo\~ao~\nf{10}:\nf{10};\ Rom.~\nf{8}:\nf{32};\ \nf{2}Cor~\nf{9}:\nf{8},\nf{15};\ Ef\'e~\nf{3}:\nf{17}\nobreakrefrange \nf{21};\ Kol~\nf{2}:\nf{9},\nf{10};\ \nf{2}Ped~\nf{1}:\nf{4},\nf{11}}</v>
      </c>
    </row>
    <row r="61" spans="1:1">
      <c r="A61" s="15" t="str">
        <f>IF(ISNUMBER(FixSun!A49),'Preview Sun'!Z49,"")</f>
        <v>\SunChapter{\nf{18}}{Out}{Mateus}{\nf{9}}</v>
      </c>
    </row>
    <row r="62" spans="1:1">
      <c r="A62" s="15" t="str">
        <f>IF(ISNUMBER(FixSun!A50),'Preview Sun'!Z50,"")</f>
        <v>\SunChapter{\nf{25}}{Oct}{Matthew}{\nf{10}}</v>
      </c>
    </row>
    <row r="63" spans="1:1">
      <c r="A63" s="15" t="str">
        <f>IF(ISNUMBER(FixSun!A51),'Preview Sun'!Z51,"")</f>
        <v>\SunTopic{\nf{1}}{Nov}{A\ beleza\ da\ simplicidade}{Beauty\ of\ simplicity}{Sal~\nf{131}:\nf{1}\nobreakrefrange \nf{2};\ ~Isa~\nf{52}:\nf{7};\ Mat~\nf{5}:\nf{3};\ \nf{11}:\nf{25};\ \nf{21}:\nf{16};\ Mar~\nf{10}:\nf{14}\nobreakrefrange \nf{15};\ Luc~\nf{2}:\nf{6}\nobreakrefrange \nf{20};\ Rom~\nf{16}:\nf{19},\nf{20};\ \nf{2}Cor~\nf{1}:\nf{12}}</v>
      </c>
    </row>
    <row r="64" spans="1:1">
      <c r="A64" s="15" t="str">
        <f>IF(ISNUMBER(FixSun!A52),'Preview Sun'!Z52,"")</f>
        <v>\SunChapter{\nf{8}}{Nov}{Mateus}{\nf{11}}</v>
      </c>
    </row>
    <row r="65" spans="1:1">
      <c r="A65" s="15" t="str">
        <f>IF(ISNUMBER(FixSun!A53),'Preview Sun'!Z53,"")</f>
        <v>\SunChapter{\nf{15}}{Nov}{Matthew}{\nf{12}}</v>
      </c>
    </row>
    <row r="66" spans="1:1">
      <c r="A66" s="15" t="str">
        <f>IF(ISNUMBER(FixSun!A54),'Preview Sun'!Z54,"")</f>
        <v>\SunChapter{\nf{22}}{Nov}{Mateus}{\nf{13}}</v>
      </c>
    </row>
    <row r="67" spans="1:1">
      <c r="A67" s="15" t="str">
        <f>IF(ISNUMBER(FixSun!A55),'Preview Sun'!Z55,"")</f>
        <v>\SunChapter{\nf{29}}{Nov}{Matthew}{\nf{14}}</v>
      </c>
    </row>
    <row r="68" spans="1:1">
      <c r="A68" s="15" t="str">
        <f>IF(ISNUMBER(FixSun!A56),'Preview Sun'!Z56,"")</f>
        <v>\SunChapter{\nf{6}}{Des}{Mateus}{\nf{15}}</v>
      </c>
    </row>
    <row r="69" spans="1:1">
      <c r="A69" s="15" t="str">
        <f>IF(ISNUMBER(FixSun!A57),'Preview Sun'!Z57,"")</f>
        <v>\SunChapter{\nf{13}}{Dec}{Matthew}{\nf{16}}</v>
      </c>
    </row>
    <row r="70" spans="1:1">
      <c r="A70" s="15" t="str">
        <f>IF(ISNUMBER(FixSun!A58),'Preview Sun'!Z58,"")</f>
        <v>\SunChapter{\nf{20}}{Des}{Mateus}{\nf{17}}</v>
      </c>
    </row>
    <row r="71" spans="1:1">
      <c r="A71" s="15" t="str">
        <f>IF(ISNUMBER(FixSun!A59),'Preview Sun'!Z59,"")</f>
        <v>\SunChapter{\nf{27}}{Dec}{Matthew}{\nf{18}}</v>
      </c>
    </row>
    <row r="72" spans="1:1">
      <c r="A72" s="15" t="str">
        <f>IF(ISNUMBER(FixSun!A60),'Preview Sun'!Z60,"")</f>
        <v/>
      </c>
    </row>
    <row r="73" spans="1:1">
      <c r="A73" s="15" t="s">
        <v>187</v>
      </c>
    </row>
    <row r="74" spans="1:1">
      <c r="A74" s="15" t="s">
        <v>198</v>
      </c>
    </row>
    <row r="75" spans="1:1">
      <c r="A75" s="15" t="str">
        <f>CONCATENATE("\WedListH{",PrepareBoldLatexText(CONCATENATE(IF(LEN(LookupTransB(3))&gt;0, LookupTransB(3), LookupTransA(3))," ",'Edit Translations'!B$12)),"}")</f>
        <v>\WedListH{Bible\ Readings\ \bnf{2026}}</v>
      </c>
    </row>
    <row r="76" spans="1:1">
      <c r="A76" s="15" t="str">
        <f>CONCATENATE("\WedListSubH{",LookupTransA(1),IF(LEN(LookupTransB(1))&lt;=0,"",CONCATENATE(" / ",LookupTransB(1))),"}")</f>
        <v>\WedListSubH{Quarta-Feira / Wednesday}</v>
      </c>
    </row>
    <row r="77" spans="1:1">
      <c r="A77" s="15" t="str">
        <f>IF(ISNUMBER(FixWed!A4),'Preview Wed'!Z4,"")</f>
        <v>\WedChapter{\nf{7}}{Jan}{Esdras}{\nf{1}\ \&amp;\ \nf{2}}{Confiando\ em\ Deus,\ por\ novo\ in\'icio}{Trusting\ God\ for\ a\ new\ beginning}</v>
      </c>
    </row>
    <row r="78" spans="1:1">
      <c r="A78" s="15" t="str">
        <f>IF(ISNUMBER(FixWed!A5),'Preview Wed'!Z5,"")</f>
        <v>\WedChapter{\nf{14}}{Jan}{Ezra}{\nf{3}}{O\ m\~ao\ de\ castigo\ de\ Deus\ removida}{God\rq s\ chastening\ hand\ removed}</v>
      </c>
    </row>
    <row r="79" spans="1:1">
      <c r="A79" s="15" t="str">
        <f>IF(ISNUMBER(FixWed!A6),'Preview Wed'!Z6,"")</f>
        <v>\WedChapter{\nf{21}}{Jan}{Esdras}{\nf{4}}{Quanto\ mais\ b\^en\c{c}\~ao,\ mais\ ataques\ ferozes}{Greater\ blessing,\ fiercer\ attack}</v>
      </c>
    </row>
    <row r="80" spans="1:1">
      <c r="A80" s="15" t="str">
        <f>IF(ISNUMBER(FixWed!A7),'Preview Wed'!Z7,"")</f>
        <v>\WedTopic{\nf{28}}{Jan}{Alcan\c{c}ando\ a\ aprova\c{c}\~ao\ de\ Deus}{Gaining\ God's\ approval}{G\'en~\nf{6}:\nf{8},\nf{22};\ \nf{17}:\nf{1};\ \^Exo~\nf{33}:\nf{12}\nobreakrefrange \nf{17};\ \nf{1}Sa~\nf{2}:\nf{26};\ \nf{3}:\nf{10},\nf{19};\ \nf{15}:\nf{22};\ Isa~\nf{66}:\nf{2};\ Dan~\nf{10}:\nf{11},\nf{12};\ Jo\~ao~\nf{8}:\nf{29};\ Ato~\nf{13}:\nf{22}}</v>
      </c>
    </row>
    <row r="81" spans="1:1">
      <c r="A81" s="15" t="str">
        <f>IF(ISNUMBER(FixWed!A8),'Preview Wed'!Z8,"")</f>
        <v>\WedChapter{\nf{4}}{Fev}{Esdras}{\nf{5}\ \&amp;\ \nf{6}}{Nunca\ perca\ o\ seu\ \^animo}{Never\ let\ your\ courage\ falter}</v>
      </c>
    </row>
    <row r="82" spans="1:1">
      <c r="A82" s="15" t="str">
        <f>IF(ISNUMBER(FixWed!A9),'Preview Wed'!Z9,"")</f>
        <v>\WedChapter{\nf{11}}{Feb}{Ezra}{\nf{7}\ \&amp;\ \nf{8}}{A\ m\~ao\ de\ Deus\ provendo\ e\ protegendo}{God's\ hand\ providing\ \&amp;\ protecting}</v>
      </c>
    </row>
    <row r="83" spans="1:1">
      <c r="A83" s="15" t="str">
        <f>IF(ISNUMBER(FixWed!A10),'Preview Wed'!Z10,"")</f>
        <v>\WedTopic{\nf{18}}{Fev}{A\ preemin\^encia\ do\ amor}{Pre\textendash eminence\ of\ Love}{Hos~\nf{11}:\nf{4};\ Jo\~ao~\nf{12}:\nf{32};\ \nf{1}Cor~\nf{13}:\nf{13};\ Ga~\nf{5}:\nf{6},\nf{22};\ Ef\'e~\nf{3}:\nf{17}\nobreakrefrange \nf{19};\ \nf{5}:\nf{2};\ Kol~\nf{3}:\nf{14};\ \nf{1}Jo~\nf{4}:\nf{16}\nobreakrefrange \nf{18}}</v>
      </c>
    </row>
    <row r="84" spans="1:1">
      <c r="A84" s="15" t="str">
        <f>IF(ISNUMBER(FixWed!A11),'Preview Wed'!Z11,"")</f>
        <v>\WedChapter{\nf{25}}{Feb}{Esdras}{\nf{9}}{Violar\ nossos\ valores\ leva\ para\ baixo}{Downward\ spiral\ of\ compromise}</v>
      </c>
    </row>
    <row r="85" spans="1:1">
      <c r="A85" s="15" t="str">
        <f>IF(ISNUMBER(FixWed!A12),'Preview Wed'!Z12,"")</f>
        <v>\WedChapter{\nf{4}}{Mar}{Ezra}{\nf{10}}{Um\ raio\ de\ esperan\c{c}a\ na\ escurid\~ao}{Ray\ of\ hope\ in\ the\ darkness}</v>
      </c>
    </row>
    <row r="86" spans="1:1">
      <c r="A86" s="15" t="str">
        <f>IF(ISNUMBER(FixWed!A13),'Preview Wed'!Z13,"")</f>
        <v>\WedTopic{\nf{11}}{Mar}{O\ tipo\ de\ cora\c{c}\~ao\ que\ necessitamos}{The\ kind\ of\ heart\ we\ need}{Deu~\nf{5}:\nf{29};\ \nf{1}Sa~\nf{12}:\nf{24};\ Pro~\nf{3}:\nf{5}\nobreakrefrange \nf{6};\ \nf{23}:\nf{26};\ Jer~\nf{24}:\nf{7};\ \nf{29}:\nf{13};\ Eze~\nf{11}:\nf{19}\nobreakrefrange \nf{20};\ Joe~\nf{2}:\nf{12}\nobreakrefrange \nf{13};\ Luc~\nf{10}:\nf{27}}</v>
      </c>
    </row>
    <row r="87" spans="1:1">
      <c r="A87" s="15" t="str">
        <f>IF(ISNUMBER(FixWed!A14),'Preview Wed'!Z14,"")</f>
        <v>\WedChapter{\nf{18}}{Mar}{Ageu}{\nf{1}}{Sondando\ \`as\ nossas\ prioridades}{Examining\ one's\ own\ priorities}</v>
      </c>
    </row>
    <row r="88" spans="1:1">
      <c r="A88" s="15" t="str">
        <f>IF(ISNUMBER(FixWed!A15),'Preview Wed'!Z15,"")</f>
        <v>\WedChapter{\nf{25}}{Mar}{Haggai}{\nf{2}}{Notando\ as\ b\^en\c{c}\~aos\ provenientes\ de\ Deus}{Take\ note\ of\ God's\ blessings}</v>
      </c>
    </row>
    <row r="89" spans="1:1">
      <c r="A89" s="15" t="str">
        <f>IF(ISNUMBER(FixWed!A16),'Preview Wed'!Z16,"")</f>
        <v>\WedTopic{\nf{1}}{Abr}{O\ significado\ dos\ lugares}{Significant\ place\ names}{G\'en~\nf{16}:\nf{13}\nobreakrefrange \nf{14};\ \nf{22}:\nf{14};\ \nf{28}:\nf{19};\ \nf{35}:\nf{7};\ Ju\'iz~\nf{15}:\nf{17}\nobreakrefrange \nf{19};\ \nf{1}Sa~\nf{7}:\nf{12};\ Mat~\nf{26}:\nf{36};\ Jo\~ao~\nf{19}:\nf{17}}</v>
      </c>
    </row>
    <row r="90" spans="1:1">
      <c r="A90" s="15" t="str">
        <f>IF(ISNUMBER(FixWed!A17),'Preview Wed'!Z17,"")</f>
        <v>\WedChapter{\nf{8}}{Apr}{Neemias}{\nf{1}}{A\ ora\c{c}\~ao\ muda\ as\ coisas\ quando\ ela\ nos\ muda\ primeiro}{Prayer\ changes\ things,\ if\ it\ first\ changes\ me}</v>
      </c>
    </row>
    <row r="91" spans="1:1">
      <c r="A91" s="15" t="str">
        <f>IF(ISNUMBER(FixWed!A18),'Preview Wed'!Z18,"")</f>
        <v>\WedChapter{\nf{15}}{Abr}{Nehemiah}{\nf{2}}{Esperar\ em\ Deus\ n\~ao\ \'e\ tempo\ perdido}{No\ time\ lost\ in\ waiting\ on\ God}</v>
      </c>
    </row>
    <row r="92" spans="1:1">
      <c r="A92" s="15" t="str">
        <f>IF(ISNUMBER(FixWed!A19),'Preview Wed'!Z19,"")</f>
        <v>\WedTopic{\nf{22}}{Apr}{\`A\ import\^ancia\ da\ perspectiva}{Importance\ of\ perspective}{\nf{2}Rs~\nf{4}:\nf{9},\nf{10};\ \nf{6}:\nf{15}\nobreakrefrange \nf{17};\ Isa~\nf{6}:\nf{1}\nobreakrefrange \nf{8};\ Mat~\nf{1}:\nf{19},\nf{20};\ \nf{9}:\nf{11}\nobreakrefrange \nf{13};\ \nf{13}:\nf{11};\ \nf{14}:\nf{16};\ \nf{19}:\nf{13},\nf{14};\ \nf{2}Cor~\nf{4}:\nf{16}\nobreakrefrange \nf{18}
}</v>
      </c>
    </row>
    <row r="93" spans="1:1">
      <c r="A93" s="15" t="str">
        <f>IF(ISNUMBER(FixWed!A20),'Preview Wed'!Z20,"")</f>
        <v>\WedChapter{\nf{29}}{Abr}{Neemias}{\nf{3}}{Uni\~ao\ faz\ a\ for\c{c}a}{Unity\ is\ strength}</v>
      </c>
    </row>
    <row r="94" spans="1:1">
      <c r="A94" s="15" t="str">
        <f>IF(ISNUMBER(FixWed!A21),'Preview Wed'!Z21,"")</f>
        <v>\WedChapter{\nf{6}}{Mai}{Nehemiah}{\nf{4}}{Quanto\ mais\ dedica\c{c}\~ao,\ maior\ oposi\c{c}\~ao}{Greater\ dedication;\ greater\ opposition}</v>
      </c>
    </row>
    <row r="95" spans="1:1">
      <c r="A95" s="15" t="str">
        <f>IF(ISNUMBER(FixWed!A22),'Preview Wed'!Z22,"")</f>
        <v>\WedTopic{\nf{13}}{May}{Os\ esconderijos}{Hiding\ Places}{G\'en~\nf{3}:\nf{8};\ Sal~\nf{27}:\nf{5};\ \nf{31}:\nf{20},\nf{21};\ \nf{139}:\nf{11},\nf{12};\ Pro~\nf{30}:\nf{26};\ Isa~\nf{25}:\nf{4};\ Jer~\nf{23}:\nf{24};\ Luc~\nf{12}:\nf{2},\nf{3};\ Apoc~\nf{6}:\nf{14}\nobreakrefrange \nf{17}}</v>
      </c>
    </row>
    <row r="96" spans="1:1">
      <c r="A96" s="15" t="str">
        <f>IF(ISNUMBER(FixWed!A23),'Preview Wed'!Z23,"")</f>
        <v>\WedChapter{\nf{20}}{Mai}{Neemias}{\nf{5}}{O\ inimigo\ interior\ \'e\ o\ maior\ perigo}{The\ enemy\ within\ is\ the\ biggest\ danger}</v>
      </c>
    </row>
    <row r="97" spans="1:1">
      <c r="A97" s="15" t="str">
        <f>IF(ISNUMBER(FixWed!A24),'Preview Wed'!Z24,"")</f>
        <v>\WedChapter{\nf{27}}{May}{Nehemiah}{\nf{6}}{Cuidado\ com\ o\ inimigo\ amig\'avel}{Beware\ of\ the\ friendly\ enemy}</v>
      </c>
    </row>
    <row r="98" spans="1:1">
      <c r="A98" s="15" t="str">
        <f>IF(ISNUMBER(FixWed!A25),'Preview Wed'!Z25,"")</f>
        <v>\WedTopic{\nf{3}}{Jun}{Servi\c{c}o\ no\ tempo\ apropriado}{Timely\ service}{G\'en~\nf{18}:\nf{2}\nobreakrefrange \nf{8};\ Jos~\nf{2}:\nf{6}\nobreakrefrange \nf{21};\ \nf{1}Sa~\nf{25}:\nf{18}\nobreakrefrange \nf{33};\ Mar~\nf{14}:\nf{8};\ \nf{15}:\nf{40}\nobreakrefrange \nf{47};\ Ato~\nf{23}:\nf{16}\nobreakrefrange \nf{23};\ \nf{28}:\nf{15};\ \nf{2}Tim~\nf{1}:\nf{16}\nobreakrefrange \nf{18}}</v>
      </c>
    </row>
    <row r="99" spans="1:1">
      <c r="A99" s="15" t="str">
        <f>IF(ISNUMBER(FixWed!A26),'Preview Wed'!Z26,"")</f>
        <v>\WedChapter{\nf{10}}{Jun}{Neemias}{\nf{7}\ \textendash \ \nf{8}}{Ficando\ frut\'iferos\ por\ deleitar\textendash se\ na\ vontade\ de\ Deus}{Fruitfulness\ by\ delighting\ in\ God's\ will}</v>
      </c>
    </row>
    <row r="100" spans="1:1">
      <c r="A100" s="15" t="str">
        <f>IF(ISNUMBER(FixWed!A27),'Preview Wed'!Z27,"")</f>
        <v>\WedChapter{\nf{17}}{Jun}{Nehemiah}{\nf{9}}{A\ majestade\ de\ Deus\ e\ a\ deprava\c{c}\~ao\ do\ homem}{Majesty\ of\ God\ and\ depravity\ of\ man}</v>
      </c>
    </row>
    <row r="101" spans="1:1">
      <c r="A101" s="15" t="str">
        <f>IF(ISNUMBER(FixWed!A28),'Preview Wed'!Z28,"")</f>
        <v>\WedTopic{\nf{24}}{Jun}{A\ calma\ do\ povo\ de\ Deus}{Composure\ of\ God's\ people}{Sal~\nf{131}:\nf{2};\ Pro~\nf{1}:\nf{33};\ Isa~\nf{28}:\nf{16};\ \nf{32}:\nf{17};\ Lam~\nf{3}:\nf{26};\ Dan~\nf{2}:\nf{15}\nobreakrefrange \nf{18};\ Rom~\nf{5}:\nf{1};\ \nf{1}Ped~\nf{3}:\nf{12}
}</v>
      </c>
    </row>
    <row r="102" spans="1:1">
      <c r="A102" s="15" t="str">
        <f>IF(ISNUMBER(FixWed!A29),'Preview Wed'!Z29,"")</f>
        <v>\WedChapter{\nf{1}}{Jul}{Neemias}{\nf{10}\ \textendash \ \nf{11}}{Trate\ primeiro\ \`a\ causa,\ n\~ao\ os\ sintomas}{First\ treat\ the\ cause,\ not\ the\ symptoms}</v>
      </c>
    </row>
    <row r="103" spans="1:1">
      <c r="A103" s="15" t="str">
        <f>IF(ISNUMBER(FixWed!A30),'Preview Wed'!Z30,"")</f>
        <v>\WedChapter{\nf{8}}{Jul}{Nehemiah}{\nf{12}}{Os\ santificados\ glorificando\ Deus}{A\ sanctified\ people\ glorfying\ God}</v>
      </c>
    </row>
    <row r="104" spans="1:1">
      <c r="A104" s="15" t="s">
        <v>187</v>
      </c>
    </row>
    <row r="105" spans="1:1">
      <c r="A105" s="15" t="str">
        <f>CONCATENATE("\renewcommand{\EndNoteWedA}","{\btf{",TextSampleBoldSettings(4),"}}")</f>
        <v>\renewcommand{\EndNoteWedA}{\btf{}}</v>
      </c>
    </row>
    <row r="107" spans="1:1">
      <c r="A107" s="15" t="s">
        <v>256</v>
      </c>
    </row>
    <row r="108" spans="1:1">
      <c r="A108" s="15" t="str">
        <f>CONCATENATE("\WedListH{",PrepareBoldLatexText(CONCATENATE(LookupTransA(3)," ",'Edit Translations'!B$12)),"}")</f>
        <v>\WedListH{Estudos\ B\'iblicos\ \bnf{2026}}</v>
      </c>
    </row>
    <row r="109" spans="1:1">
      <c r="A109" s="15" t="str">
        <f>CONCATENATE("\WedListSubH{",LookupTransA(1),IF(LEN(LookupTransB(1))&lt;=0,"",CONCATENATE(" / ",LookupTransB(1))),"}")</f>
        <v>\WedListSubH{Quarta-Feira / Wednesday}</v>
      </c>
    </row>
    <row r="110" spans="1:1">
      <c r="A110" s="15" t="str">
        <f>IF(ISNUMBER(FixWed!A34),'Preview Wed'!Z34,"")</f>
        <v>\WedChapter{\nf{15}}{Jul}{Neemias}{\nf{13}}{As\ paredes\ de\ separa\c{c}\~ao\ desmoronando}{Walls\ of\ separation\ crumbling}</v>
      </c>
    </row>
    <row r="111" spans="1:1">
      <c r="A111" s="15" t="str">
        <f>IF(ISNUMBER(FixWed!A35),'Preview Wed'!Z35,"")</f>
        <v>\WedTopic{\nf{22}}{Jul}{As\ armas\ da\ nossa\ luta}{Weapons\ of\ our\ warfare}{\nf{1}Sa~\nf{17}:\nf{45};\ Mat~\nf{4}:\nf{4};\ \nf{26}:\nf{52};\ \nf{2}Cor~\nf{10}:\nf{4};\ Ef\'e~\nf{6}:\nf{10}\nobreakrefrange \nf{18};\ Heb~\nf{4}:\nf{12};\ \nf{1}Ped~\nf{2}:\nf{15};\ Apoc~\nf{2}:\nf{16};\ \nf{12}:\nf{11}}</v>
      </c>
    </row>
    <row r="112" spans="1:1">
      <c r="A112" s="15" t="str">
        <f>IF(ISNUMBER(FixWed!A36),'Preview Wed'!Z36,"")</f>
        <v>\WedChapter{\nf{29}}{Jul}{Ezequiel}{\nf{1}}{A\ gl\'oria\ do\ Senhor}{The\ glory\ of\ the\ Lord}</v>
      </c>
    </row>
    <row r="113" spans="1:1">
      <c r="A113" s="15" t="str">
        <f>IF(ISNUMBER(FixWed!A37),'Preview Wed'!Z37,"")</f>
        <v>\WedChapter{\nf{5}}{Ago}{Ezekiel}{\nf{2}}{Sendo\ resolutos\ para\ fazer\ a\ vontade\ de\ Deus}{Setting\ one's\ face\ to\ do\ God's\ will}</v>
      </c>
    </row>
    <row r="114" spans="1:1">
      <c r="A114" s="15" t="str">
        <f>IF(ISNUMBER(FixWed!A38),'Preview Wed'!Z38,"")</f>
        <v>\WedTopic{\nf{12}}{Aug}{Tenha\ um\ ouvido\ atento}{Having\ a\ listening\ ear}{G\'en~\nf{22}:\nf{3},\nf{10}\nobreakrefrange \nf{13};\ \nf{1}Rs~\nf{19}:\nf{11}\nobreakrefrange \nf{13};\ Isa~\nf{50}:\nf{4},\nf{5};\ Mat~\nf{13}:\nf{9},~\nf{15}\nobreakrefrange \nf{17};\ Mar~\nf{4}:\nf{24};\ Luc~\nf{8}:\nf{18}}</v>
      </c>
    </row>
    <row r="115" spans="1:1">
      <c r="A115" s="15" t="str">
        <f>IF(ISNUMBER(FixWed!A39),'Preview Wed'!Z39,"")</f>
        <v>\WedChapter{\nf{19}}{Ago}{Ezequiel}{\nf{3}}{A\ verdade\ traz\ convic\c{c}\~ao\ e\ a\ cura}{Truth\ brings\ conviction\ \&amp;\ healing}</v>
      </c>
    </row>
    <row r="116" spans="1:1">
      <c r="A116" s="15" t="str">
        <f>IF(ISNUMBER(FixWed!A40),'Preview Wed'!Z40,"")</f>
        <v>\WedChapter{\nf{26}}{Aug}{Salmos}{\nf{20}\ \&amp;\ \nf{21}}{Seja\ vigilante\ mesmo\ depois\ da\ vit\'oria}{Be\ watchful\ even\ after\ victory}</v>
      </c>
    </row>
    <row r="117" spans="1:1">
      <c r="A117" s="15" t="str">
        <f>IF(ISNUMBER(FixWed!A41),'Preview Wed'!Z41,"")</f>
        <v>\WedChapter{\nf{2}}{Sept}{Psalms}{\nf{22}}{O\ bom\ pastor\ morre\ pelas\ ovelhas}{Good\ Shepherd\ dies\ for\ his\ sheep}</v>
      </c>
    </row>
    <row r="118" spans="1:1">
      <c r="A118" s="15" t="str">
        <f>IF(ISNUMBER(FixWed!A42),'Preview Wed'!Z42,"")</f>
        <v>\WedChapter{\nf{9}}{Sept}{Salmos}{\nf{23}}{O\ grande\ pastor\ cuida\ das\ ovelhas}{Great\ Shepherd\ cares\ for\ the\ sheep}</v>
      </c>
    </row>
    <row r="119" spans="1:1">
      <c r="A119" s="15" t="str">
        <f>IF(ISNUMBER(FixWed!A43),'Preview Wed'!Z43,"")</f>
        <v>\WedChapter{\nf{16}}{Sept}{Psalms}{\nf{24}}{O\ sumo\ pastor\ vem\ em\ gl\'oria}{Chief\ Shepherd\ comes\ in\ glory}</v>
      </c>
    </row>
    <row r="120" spans="1:1">
      <c r="A120" s="15" t="str">
        <f>IF(ISNUMBER(FixWed!A44),'Preview Wed'!Z44,"")</f>
        <v>\WedChapter{\nf{23}}{Sept}{Salmos}{\nf{25}}{Aqueles\ que\ Deus\ ama\ guiar}{People\ the\ Lord\ loves\ to\ guide}</v>
      </c>
    </row>
    <row r="121" spans="1:1">
      <c r="A121" s="15" t="str">
        <f>IF(ISNUMBER(FixWed!A45),'Preview Wed'!Z45,"")</f>
        <v>\WedChapter{\nf{30}}{Sept}{Psalms}{\nf{26}}{Suportando\ cal\'unia\ maliciosa}{Handling\ malicious\ slander}</v>
      </c>
    </row>
    <row r="122" spans="1:1">
      <c r="A122" s="15" t="str">
        <f>IF(ISNUMBER(FixWed!A46),'Preview Wed'!Z46,"")</f>
        <v>\WedChapter{\nf{7}}{Out}{Ezequiel}{\nf{33}}{Expressar\ amor\ por\ Deus\ pela\ obedi\^encia}{Love\ for\ God\ expressed\ in\ obedience}</v>
      </c>
    </row>
    <row r="123" spans="1:1">
      <c r="A123" s="15" t="str">
        <f>IF(ISNUMBER(FixWed!A47),'Preview Wed'!Z47,"")</f>
        <v>\WedTopic{\nf{14}}{Oct}{A\ mais\ alta\ voca\c{c}\~ao}{Highest\ calling}{\nf{1}Rs~\nf{19}:\nf{19}\nobreakrefrange \nf{21};\ Isa~\nf{6}:\nf{8};\ Jer~\nf{1}:\nf{4}\nobreakrefrange \nf{10};\ Mar~\nf{6}:\nf{7};\ Rom~\nf{1}:\nf{1},\nf{7};\ \nf{1}Cor~\nf{1}:\nf{26}\nobreakrefrange \nf{30};\ Apoc~\nf{17}:\nf{14}}</v>
      </c>
    </row>
    <row r="124" spans="1:1">
      <c r="A124" s="15" t="str">
        <f>IF(ISNUMBER(FixWed!A48),'Preview Wed'!Z48,"")</f>
        <v>\WedChapter{\nf{21}}{Out}{Ezequiel}{\nf{34}}{O\ pastor\ concede\ todas\ as\ nossas\ necessidades}{All\ needs\ met\ in\ our\ Shepherd}</v>
      </c>
    </row>
    <row r="125" spans="1:1">
      <c r="A125" s="15" t="str">
        <f>IF(ISNUMBER(FixWed!A49),'Preview Wed'!Z49,"")</f>
        <v>\WedChapter{\nf{28}}{Oct}{Ezekiel}{\nf{35}}{Deus\ resiste\ os\ soberbos}{God\ still\ resists\ the\ proud}</v>
      </c>
    </row>
    <row r="126" spans="1:1">
      <c r="A126" s="15" t="str">
        <f>IF(ISNUMBER(FixWed!A50),'Preview Wed'!Z50,"")</f>
        <v>\WedTopic{\nf{4}}{Nov}{Decep\c{c}\~oes\ planejadas\ por\ Deus}{Our\ disappointment,\ often\ God's\ appointment}{G\'en~\nf{17}:\nf{18}\nobreakrefrange \nf{19};\ \nf{48}:\nf{8}\nobreakrefrange \nf{20};\ Ato~\nf{16}:\nf{6}\nobreakrefrange \nf{10},~\nf{23}\nobreakrefrange \nf{34};\ \nf{2}Cor~\nf{12}:\nf{7}\nobreakrefrange \nf{10};\ Heb~\nf{11}:\nf{17}\nobreakrefrange \nf{19},\nf{39}\nobreakrefrange \nf{40}}</v>
      </c>
    </row>
    <row r="127" spans="1:1">
      <c r="A127" s="15" t="str">
        <f>IF(ISNUMBER(FixWed!A51),'Preview Wed'!Z51,"")</f>
        <v>\WedChapter{\nf{11}}{Nov}{Ezequiel}{\nf{36}}{Indo\ da\ desola\c{c}\~ao\ ao\ deleite}{From\ desolation\ to\ delight}</v>
      </c>
    </row>
    <row r="128" spans="1:1">
      <c r="A128" s="15" t="str">
        <f>IF(ISNUMBER(FixWed!A52),'Preview Wed'!Z52,"")</f>
        <v>\WedChapter{\nf{18}}{Nov}{Ezekiel}{\nf{37}}{O\ poder\ vivificante\ da\ palavra\ e\ do\ Esp\'irito}{Life\textendash giving\ power\ of\ the\ Word\ and\ Spirit}</v>
      </c>
    </row>
    <row r="129" spans="1:1">
      <c r="A129" s="15" t="str">
        <f>IF(ISNUMBER(FixWed!A53),'Preview Wed'!Z53,"")</f>
        <v>\WedTopic{\nf{25}}{Nov}{Redimindo\ o\ tempo}{Redeeming\ Time}{Sal~\nf{39}:\nf{4}\nobreakrefrange \nf{6};\ \nf{90}:\nf{9}\nobreakrefrange \nf{12};\ \nf{95}:\nf{7}\nobreakrefrange \nf{9};\ Ecl~\nf{9}:\nf{10};\ ~Isa~\nf{55}:\nf{6};\ Rom~\nf{13}:\nf{11};\ \nf{2}Cor~\nf{6}:\nf{2};\ Ef\'e~\nf{5}:\nf{15}\nobreakrefrange \nf{16}}</v>
      </c>
    </row>
    <row r="130" spans="1:1">
      <c r="A130" s="15" t="str">
        <f>IF(ISNUMBER(FixWed!A54),'Preview Wed'!Z54,"")</f>
        <v>\WedChapter{\nf{2}}{Des}{Ezequiel}{\nf{38}\ \textendash \ \nf{39}}{Todo\ inimigo\ vencido,\ todo\ pecado\ perdoado}{Every\ enemy\ defeated;\ every\ sin\ forgiven}</v>
      </c>
    </row>
    <row r="131" spans="1:1">
      <c r="A131" s="15" t="str">
        <f>IF(ISNUMBER(FixWed!A55),'Preview Wed'!Z55,"")</f>
        <v>\WedChapter{\nf{9}}{Dec}{Ezekiel}{\nf{47}}{A\ \'agua\ da\ vida\ flui\ progressivamente\ mais\ fundo}{Water\ of\ Life\ flows\ progressively\ deeper}</v>
      </c>
    </row>
    <row r="132" spans="1:1">
      <c r="A132" s="15" t="str">
        <f>IF(ISNUMBER(FixWed!A56),'Preview Wed'!Z56,"")</f>
        <v>\WedChapter{\nf{16}}{Des}{Salmos}{\nf{27}\ \textendash \ \nf{28}}{Deus\ \'e\ maior\ do\ que\ circunst\^ancias\ e\ o\ inimigo}{God\ is\ greater\ than\ circumstances\ \&amp;\ foes}</v>
      </c>
    </row>
    <row r="133" spans="1:1">
      <c r="A133" s="15" t="str">
        <f>IF(ISNUMBER(FixWed!A57),'Preview Wed'!Z57,"")</f>
        <v>\WedChapter{\nf{23}}{Dec}{Psalms}{\nf{29}\ \textendash \ \nf{30}}{Ora\c{c}\~oes\ respondidas\ traz\ um\ novo\ cantico}{Answered\ prayer\ gives\ a\ new\ song}</v>
      </c>
    </row>
    <row r="134" spans="1:1">
      <c r="A134" s="15" t="str">
        <f>IF(ISNUMBER(FixWed!A58),'Preview Wed'!Z58,"")</f>
        <v>\WedChapter{\nf{30}}{Des}{Salmos}{\nf{31}\ \textendash \ \nf{32}}{O\ meu\ caminho\ \'e\ errado,\ mas\ o\ caminho\ de\ Deus\ \'e\ certo}{My\ way\ is\ wrong,\ God's\ way\ is\ right}</v>
      </c>
    </row>
    <row r="135" spans="1:1">
      <c r="A135" s="15" t="str">
        <f>IF(ISNUMBER(FixWed!A59),'Preview Wed'!Z59,"")</f>
        <v/>
      </c>
    </row>
    <row r="136" spans="1:1">
      <c r="A136" s="15" t="str">
        <f>IF(ISNUMBER(FixWed!A60),'Preview Wed'!Z60,"")</f>
        <v/>
      </c>
    </row>
    <row r="137" spans="1:1">
      <c r="A137" s="15" t="s">
        <v>187</v>
      </c>
    </row>
    <row r="138" spans="1:1">
      <c r="A138" s="15" t="str">
        <f>CONCATENATE("\renewcommand{\EndNoteWedB}","{\btf{",TextSampleBoldSettings(5),"}}")</f>
        <v>\renewcommand{\EndNoteWedB}{\btf{}}</v>
      </c>
    </row>
    <row r="139" spans="1:1">
      <c r="A139" s="15" t="str">
        <f>IF('Edit Translations'!B17=1,"\SmallPage","\LargePage")</f>
        <v>\LargePage</v>
      </c>
    </row>
    <row r="140" spans="1:1">
      <c r="A140" s="15" t="str">
        <f>IF(0&lt;&gt;(ValueSampleSettings(10)),CONCATENATE("\renewcommand{\WedWidth}[0]{",ValueSampleSettings(10)*IF(A139="\LargePage",1,1.35),"mm}"),"")</f>
        <v>\renewcommand{\WedWidth}[0]{106mm}</v>
      </c>
    </row>
    <row r="141" spans="1:1">
      <c r="A141" s="15" t="str">
        <f>IF(0&lt;&gt;(ValueSampleSettings(11)),CONCATENATE("\renewcommand{\SunWidth}[0]{",ValueSampleSettings(11)*IF(A139="\LargePage",1,1.35),"mm}"),"")</f>
        <v>\renewcommand{\SunWidth}[0]{80mm}</v>
      </c>
    </row>
    <row r="142" spans="1:1">
      <c r="A142" s="15" t="str">
        <f>IF('Edit Translations'!B18=1,"\debug","")</f>
        <v/>
      </c>
    </row>
    <row r="143" spans="1:1">
      <c r="A143" s="15" t="s">
        <v>196</v>
      </c>
    </row>
    <row r="144" spans="1:1">
      <c r="A144" s="15" t="str">
        <f>IF('Edit Translations'!B14=1,"{\OnePagePreview}","")</f>
        <v/>
      </c>
    </row>
    <row r="145" spans="1:1">
      <c r="A145" s="15" t="str">
        <f>IF('Edit Translations'!B15=1,"\OnePageTwisted","")</f>
        <v/>
      </c>
    </row>
    <row r="146" spans="1:1">
      <c r="A146" s="15" t="str">
        <f>IF('Edit Translations'!B16=1,"\TwoPageTwisted","")</f>
        <v>\TwoPageTwisted</v>
      </c>
    </row>
    <row r="147" spans="1:1">
      <c r="A147" s="15" t="str">
        <f>IF('Edit Translations'!B17=1,"\TwoPageLarge","")</f>
        <v/>
      </c>
    </row>
    <row r="148" spans="1:1">
      <c r="A148" s="15" t="s">
        <v>197</v>
      </c>
    </row>
  </sheetData>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vt:i4>
      </vt:variant>
    </vt:vector>
  </HeadingPairs>
  <TitlesOfParts>
    <vt:vector size="11" baseType="lpstr">
      <vt:lpstr>Edit Sun</vt:lpstr>
      <vt:lpstr>Edit Wed</vt:lpstr>
      <vt:lpstr>Edit Translations</vt:lpstr>
      <vt:lpstr>Manual</vt:lpstr>
      <vt:lpstr>Preview Sun</vt:lpstr>
      <vt:lpstr>FixSun</vt:lpstr>
      <vt:lpstr>Preview Wed</vt:lpstr>
      <vt:lpstr>FixWed</vt:lpstr>
      <vt:lpstr>Output</vt:lpstr>
      <vt:lpstr>'Preview Sun'!Print_Area</vt:lpstr>
      <vt:lpstr>'Preview Wed'!Print_Area</vt:lpstr>
    </vt:vector>
  </TitlesOfParts>
  <Company>Toshiba</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Johan Kotze</dc:creator>
  <cp:lastModifiedBy>Johan Kotze</cp:lastModifiedBy>
  <cp:lastPrinted>2018-10-15T17:15:07Z</cp:lastPrinted>
  <dcterms:created xsi:type="dcterms:W3CDTF">2012-09-21T17:28:22Z</dcterms:created>
  <dcterms:modified xsi:type="dcterms:W3CDTF">2025-03-27T08:41:33Z</dcterms:modified>
</cp:coreProperties>
</file>